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1f3759aa72c5c5/Desktop/SELÇUK ÖZER İSLAMHANELERİ/"/>
    </mc:Choice>
  </mc:AlternateContent>
  <xr:revisionPtr revIDLastSave="183" documentId="8_{5AFDF806-5136-4077-BC76-A483DF2D0087}" xr6:coauthVersionLast="47" xr6:coauthVersionMax="47" xr10:uidLastSave="{871B481A-2490-4B94-8BE6-E1BB507E6EF4}"/>
  <bookViews>
    <workbookView xWindow="-120" yWindow="-120" windowWidth="29040" windowHeight="15720" tabRatio="810" xr2:uid="{00000000-000D-0000-FFFF-FFFF00000000}"/>
  </bookViews>
  <sheets>
    <sheet name="İCMAL " sheetId="30" r:id="rId1"/>
    <sheet name="İÇ TESİSAT" sheetId="36" r:id="rId2"/>
    <sheet name="MONTAJ " sheetId="37" r:id="rId3"/>
  </sheets>
  <definedNames>
    <definedName name="_xlnm.Print_Area" localSheetId="0">'İCMAL '!$B$2:$J$14</definedName>
    <definedName name="_xlnm.Print_Area" localSheetId="1">'İÇ TESİSAT'!$B$2:$Q$32</definedName>
    <definedName name="_xlnm.Print_Area" localSheetId="2">'MONTAJ '!$B$2:$P$24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7" l="1"/>
  <c r="B18" i="37" s="1"/>
  <c r="M17" i="37"/>
  <c r="N17" i="37" s="1"/>
  <c r="K17" i="37"/>
  <c r="O17" i="37" s="1"/>
  <c r="P17" i="37" s="1"/>
  <c r="J17" i="37"/>
  <c r="H17" i="37"/>
  <c r="M22" i="37"/>
  <c r="N22" i="37" s="1"/>
  <c r="K22" i="37"/>
  <c r="J22" i="37"/>
  <c r="H22" i="37"/>
  <c r="H12" i="37"/>
  <c r="J12" i="37"/>
  <c r="K12" i="37"/>
  <c r="L12" i="37" s="1"/>
  <c r="M12" i="37"/>
  <c r="N12" i="37" s="1"/>
  <c r="H10" i="37"/>
  <c r="J10" i="37"/>
  <c r="K10" i="37"/>
  <c r="L10" i="37" s="1"/>
  <c r="M10" i="37"/>
  <c r="N10" i="37" s="1"/>
  <c r="H11" i="37"/>
  <c r="J11" i="37"/>
  <c r="K11" i="37"/>
  <c r="L11" i="37" s="1"/>
  <c r="M11" i="37"/>
  <c r="N11" i="37" s="1"/>
  <c r="N22" i="36"/>
  <c r="O22" i="36" s="1"/>
  <c r="L22" i="36"/>
  <c r="P22" i="36" s="1"/>
  <c r="Q22" i="36" s="1"/>
  <c r="K22" i="36"/>
  <c r="I22" i="36"/>
  <c r="N17" i="36"/>
  <c r="O17" i="36" s="1"/>
  <c r="L17" i="36"/>
  <c r="M17" i="36" s="1"/>
  <c r="K17" i="36"/>
  <c r="I17" i="36"/>
  <c r="K16" i="36"/>
  <c r="N20" i="36"/>
  <c r="O20" i="36" s="1"/>
  <c r="L20" i="36"/>
  <c r="K20" i="36"/>
  <c r="I20" i="36"/>
  <c r="I16" i="36"/>
  <c r="L16" i="36"/>
  <c r="M16" i="36" s="1"/>
  <c r="N16" i="36"/>
  <c r="O16" i="36" s="1"/>
  <c r="I27" i="36"/>
  <c r="K27" i="36"/>
  <c r="L27" i="36"/>
  <c r="M27" i="36" s="1"/>
  <c r="N27" i="36"/>
  <c r="O27" i="36" s="1"/>
  <c r="I26" i="36"/>
  <c r="K26" i="36"/>
  <c r="L26" i="36"/>
  <c r="M26" i="36" s="1"/>
  <c r="N26" i="36"/>
  <c r="O26" i="36" s="1"/>
  <c r="L17" i="37" l="1"/>
  <c r="O22" i="37"/>
  <c r="P22" i="37" s="1"/>
  <c r="L22" i="37"/>
  <c r="O12" i="37"/>
  <c r="P12" i="37" s="1"/>
  <c r="O11" i="37"/>
  <c r="P11" i="37" s="1"/>
  <c r="O10" i="37"/>
  <c r="P10" i="37" s="1"/>
  <c r="M22" i="36"/>
  <c r="P17" i="36"/>
  <c r="Q17" i="36" s="1"/>
  <c r="P20" i="36"/>
  <c r="Q20" i="36" s="1"/>
  <c r="M20" i="36"/>
  <c r="P16" i="36"/>
  <c r="Q16" i="36" s="1"/>
  <c r="P27" i="36"/>
  <c r="Q27" i="36" s="1"/>
  <c r="P26" i="36"/>
  <c r="Q26" i="36" s="1"/>
  <c r="I19" i="36" l="1"/>
  <c r="K19" i="36"/>
  <c r="L19" i="36"/>
  <c r="M19" i="36" s="1"/>
  <c r="N19" i="36"/>
  <c r="O19" i="36" s="1"/>
  <c r="C9" i="36"/>
  <c r="C10" i="36" s="1"/>
  <c r="C11" i="36" s="1"/>
  <c r="I9" i="36"/>
  <c r="K9" i="36"/>
  <c r="L9" i="36"/>
  <c r="M9" i="36" s="1"/>
  <c r="N9" i="36"/>
  <c r="O9" i="36" s="1"/>
  <c r="B6" i="37"/>
  <c r="C6" i="36"/>
  <c r="B7" i="30"/>
  <c r="P4" i="37"/>
  <c r="Q4" i="36"/>
  <c r="M23" i="37"/>
  <c r="K23" i="37"/>
  <c r="L23" i="37" s="1"/>
  <c r="J23" i="37"/>
  <c r="H23" i="37"/>
  <c r="M21" i="37"/>
  <c r="N21" i="37" s="1"/>
  <c r="K21" i="37"/>
  <c r="J21" i="37"/>
  <c r="H21" i="37"/>
  <c r="M18" i="37"/>
  <c r="N18" i="37" s="1"/>
  <c r="K18" i="37"/>
  <c r="J18" i="37"/>
  <c r="H18" i="37"/>
  <c r="M16" i="37"/>
  <c r="N16" i="37" s="1"/>
  <c r="K16" i="37"/>
  <c r="J16" i="37"/>
  <c r="H16" i="37"/>
  <c r="M15" i="37"/>
  <c r="N15" i="37" s="1"/>
  <c r="K15" i="37"/>
  <c r="J15" i="37"/>
  <c r="H15" i="37"/>
  <c r="M14" i="37"/>
  <c r="N14" i="37" s="1"/>
  <c r="K14" i="37"/>
  <c r="J14" i="37"/>
  <c r="H14" i="37"/>
  <c r="M13" i="37"/>
  <c r="N13" i="37" s="1"/>
  <c r="K13" i="37"/>
  <c r="J13" i="37"/>
  <c r="H13" i="37"/>
  <c r="M9" i="37"/>
  <c r="N9" i="37" s="1"/>
  <c r="K9" i="37"/>
  <c r="L9" i="37" s="1"/>
  <c r="J9" i="37"/>
  <c r="H9" i="37"/>
  <c r="M8" i="37"/>
  <c r="N8" i="37" s="1"/>
  <c r="K8" i="37"/>
  <c r="L8" i="37" s="1"/>
  <c r="J8" i="37"/>
  <c r="H8" i="37"/>
  <c r="I15" i="36"/>
  <c r="N31" i="36"/>
  <c r="N30" i="36"/>
  <c r="N23" i="36"/>
  <c r="N21" i="36"/>
  <c r="N13" i="36"/>
  <c r="N12" i="36"/>
  <c r="N11" i="36"/>
  <c r="N18" i="36"/>
  <c r="N15" i="36"/>
  <c r="N14" i="36"/>
  <c r="N10" i="36"/>
  <c r="N8" i="36"/>
  <c r="I8" i="36"/>
  <c r="L30" i="36"/>
  <c r="M30" i="36" s="1"/>
  <c r="J24" i="37" l="1"/>
  <c r="O21" i="37"/>
  <c r="P21" i="37" s="1"/>
  <c r="P9" i="36"/>
  <c r="Q9" i="36" s="1"/>
  <c r="P19" i="36"/>
  <c r="Q19" i="36" s="1"/>
  <c r="H24" i="37"/>
  <c r="O18" i="37"/>
  <c r="P18" i="37" s="1"/>
  <c r="H19" i="37"/>
  <c r="J19" i="37"/>
  <c r="O9" i="37"/>
  <c r="P9" i="37" s="1"/>
  <c r="O23" i="37"/>
  <c r="P23" i="37" s="1"/>
  <c r="O14" i="37"/>
  <c r="P14" i="37" s="1"/>
  <c r="O8" i="37"/>
  <c r="P8" i="37" s="1"/>
  <c r="L18" i="37"/>
  <c r="L21" i="37"/>
  <c r="O13" i="37"/>
  <c r="P13" i="37" s="1"/>
  <c r="O15" i="37"/>
  <c r="P15" i="37" s="1"/>
  <c r="N19" i="37"/>
  <c r="B9" i="37"/>
  <c r="L14" i="37"/>
  <c r="L13" i="37"/>
  <c r="N23" i="37"/>
  <c r="O16" i="37"/>
  <c r="P16" i="37" s="1"/>
  <c r="L16" i="37"/>
  <c r="L15" i="37"/>
  <c r="O30" i="36"/>
  <c r="B10" i="37" l="1"/>
  <c r="B11" i="37" s="1"/>
  <c r="B12" i="37" s="1"/>
  <c r="B13" i="37" s="1"/>
  <c r="B14" i="37" s="1"/>
  <c r="B15" i="37" s="1"/>
  <c r="B16" i="37" s="1"/>
  <c r="B21" i="37" s="1"/>
  <c r="B22" i="37" s="1"/>
  <c r="B23" i="37" s="1"/>
  <c r="J6" i="37"/>
  <c r="E7" i="30" s="1"/>
  <c r="H6" i="37"/>
  <c r="D7" i="30" s="1"/>
  <c r="N24" i="37"/>
  <c r="N6" i="37" s="1"/>
  <c r="G7" i="30" s="1"/>
  <c r="L19" i="37"/>
  <c r="P19" i="37"/>
  <c r="P24" i="37"/>
  <c r="L24" i="37"/>
  <c r="L6" i="37" l="1"/>
  <c r="F7" i="30" s="1"/>
  <c r="H7" i="30" s="1"/>
  <c r="J7" i="30" s="1"/>
  <c r="P6" i="37"/>
  <c r="I28" i="36"/>
  <c r="L23" i="36"/>
  <c r="O23" i="36" s="1"/>
  <c r="K23" i="36"/>
  <c r="I23" i="36"/>
  <c r="L21" i="36"/>
  <c r="K21" i="36"/>
  <c r="I21" i="36"/>
  <c r="L13" i="36"/>
  <c r="K13" i="36"/>
  <c r="I13" i="36"/>
  <c r="L12" i="36"/>
  <c r="M12" i="36" s="1"/>
  <c r="K12" i="36"/>
  <c r="I12" i="36"/>
  <c r="L11" i="36"/>
  <c r="O11" i="36" s="1"/>
  <c r="K11" i="36"/>
  <c r="I11" i="36"/>
  <c r="L18" i="36"/>
  <c r="K18" i="36"/>
  <c r="I18" i="36"/>
  <c r="L15" i="36"/>
  <c r="M15" i="36" s="1"/>
  <c r="K15" i="36"/>
  <c r="L14" i="36"/>
  <c r="M14" i="36" s="1"/>
  <c r="K14" i="36"/>
  <c r="I14" i="36"/>
  <c r="L10" i="36"/>
  <c r="O10" i="36" s="1"/>
  <c r="K10" i="36"/>
  <c r="I10" i="36"/>
  <c r="L8" i="36"/>
  <c r="M8" i="36" s="1"/>
  <c r="K8" i="36"/>
  <c r="K24" i="36" l="1"/>
  <c r="I24" i="36"/>
  <c r="O8" i="36"/>
  <c r="O14" i="36"/>
  <c r="O15" i="36"/>
  <c r="P11" i="36"/>
  <c r="Q11" i="36" s="1"/>
  <c r="P10" i="36"/>
  <c r="Q10" i="36" s="1"/>
  <c r="P23" i="36"/>
  <c r="Q23" i="36" s="1"/>
  <c r="O12" i="36"/>
  <c r="O18" i="36"/>
  <c r="O13" i="36"/>
  <c r="O21" i="36"/>
  <c r="M21" i="36"/>
  <c r="M10" i="36"/>
  <c r="M18" i="36"/>
  <c r="M11" i="36"/>
  <c r="M13" i="36"/>
  <c r="M23" i="36"/>
  <c r="M24" i="36" l="1"/>
  <c r="O24" i="36"/>
  <c r="P21" i="36"/>
  <c r="Q21" i="36" s="1"/>
  <c r="P18" i="36"/>
  <c r="Q18" i="36" s="1"/>
  <c r="P15" i="36"/>
  <c r="Q15" i="36" s="1"/>
  <c r="P13" i="36"/>
  <c r="Q13" i="36" s="1"/>
  <c r="P8" i="36"/>
  <c r="Q8" i="36" s="1"/>
  <c r="P14" i="36"/>
  <c r="Q14" i="36" s="1"/>
  <c r="P12" i="36"/>
  <c r="Q12" i="36" s="1"/>
  <c r="Q24" i="36" l="1"/>
  <c r="L31" i="36" l="1"/>
  <c r="M31" i="36" s="1"/>
  <c r="K31" i="36"/>
  <c r="I31" i="36"/>
  <c r="K30" i="36"/>
  <c r="I30" i="36"/>
  <c r="I32" i="36" l="1"/>
  <c r="I6" i="36" s="1"/>
  <c r="K32" i="36"/>
  <c r="K28" i="36"/>
  <c r="O31" i="36"/>
  <c r="K6" i="36" l="1"/>
  <c r="E6" i="30" s="1"/>
  <c r="D6" i="30"/>
  <c r="M32" i="36"/>
  <c r="O32" i="36"/>
  <c r="M28" i="36"/>
  <c r="O28" i="36"/>
  <c r="P31" i="36"/>
  <c r="Q31" i="36" s="1"/>
  <c r="P30" i="36"/>
  <c r="Q30" i="36" s="1"/>
  <c r="O6" i="36" l="1"/>
  <c r="G6" i="30" s="1"/>
  <c r="M6" i="36"/>
  <c r="F6" i="30" s="1"/>
  <c r="Q32" i="36"/>
  <c r="Q28" i="36"/>
  <c r="Q6" i="36" l="1"/>
  <c r="H6" i="30"/>
  <c r="J6" i="30" s="1"/>
  <c r="J8" i="30" s="1"/>
  <c r="J9" i="30" l="1"/>
  <c r="J10" i="30" l="1"/>
  <c r="C12" i="36"/>
  <c r="C13" i="36" s="1"/>
  <c r="C14" i="36" s="1"/>
  <c r="C15" i="36" s="1"/>
  <c r="C16" i="36" s="1"/>
  <c r="C17" i="36" s="1"/>
  <c r="C18" i="36" s="1"/>
  <c r="C19" i="36" s="1"/>
  <c r="C20" i="36" s="1"/>
  <c r="C21" i="36" l="1"/>
  <c r="C23" i="36" l="1"/>
  <c r="C26" i="36" s="1"/>
  <c r="C27" i="36" s="1"/>
  <c r="C22" i="36"/>
  <c r="C30" i="36" l="1"/>
  <c r="C31" i="36" s="1"/>
</calcChain>
</file>

<file path=xl/sharedStrings.xml><?xml version="1.0" encoding="utf-8"?>
<sst xmlns="http://schemas.openxmlformats.org/spreadsheetml/2006/main" count="249" uniqueCount="75">
  <si>
    <t>MARKA</t>
  </si>
  <si>
    <t>BR.</t>
  </si>
  <si>
    <t>MALZEME TUTAR 
TL</t>
  </si>
  <si>
    <t>İŞÇİLİK TUTAR 
TL</t>
  </si>
  <si>
    <t>SIRA</t>
  </si>
  <si>
    <t>TİP TOPLAM TUTAR TL</t>
  </si>
  <si>
    <t>TİP TOPLAMI</t>
  </si>
  <si>
    <t xml:space="preserve">BAĞIMSIZ BÖLÜM TİP </t>
  </si>
  <si>
    <t>NOTLAR</t>
  </si>
  <si>
    <t>EMAK ELK.MAK.LTD.ŞTİ.</t>
  </si>
  <si>
    <t>GENEL TOPLAM</t>
  </si>
  <si>
    <t>ARA TOPLAM</t>
  </si>
  <si>
    <t>KDV %20</t>
  </si>
  <si>
    <t>ZAYIF AKIM KABLOLAMA</t>
  </si>
  <si>
    <t>AYDINLATMA ÜRÜNLERİ FİYATA DAHİL EDİLMEMİŞTİR.</t>
  </si>
  <si>
    <t xml:space="preserve">     MALZEME     </t>
  </si>
  <si>
    <t xml:space="preserve">     İŞÇİLİK     </t>
  </si>
  <si>
    <t xml:space="preserve">     B. FİYAT     </t>
  </si>
  <si>
    <t xml:space="preserve">     TOPLAM     </t>
  </si>
  <si>
    <t>TOPLAM</t>
  </si>
  <si>
    <t>POZ</t>
  </si>
  <si>
    <t>MİK.</t>
  </si>
  <si>
    <t>Ad</t>
  </si>
  <si>
    <t>ANAHTAR PRİZ</t>
  </si>
  <si>
    <t xml:space="preserve">AYDINLATMA  </t>
  </si>
  <si>
    <t>G. GİDER TUTAR 
TL</t>
  </si>
  <si>
    <t>GENEL GİDER</t>
  </si>
  <si>
    <t>GENEL GİDER TUTAR 
TL</t>
  </si>
  <si>
    <t>İŞVEREN</t>
  </si>
  <si>
    <t>MİKTARI</t>
  </si>
  <si>
    <t>HES - NEXANS</t>
  </si>
  <si>
    <t>AYDINLATMA / PRİZ SORTİLERİ</t>
  </si>
  <si>
    <r>
      <t xml:space="preserve">ELEKTRİKLİ OCAK BESLEME SORTİSİ </t>
    </r>
    <r>
      <rPr>
        <b/>
        <sz val="8"/>
        <color rgb="FF000000"/>
        <rFont val="Calibri"/>
        <family val="2"/>
        <charset val="162"/>
        <scheme val="minor"/>
      </rPr>
      <t xml:space="preserve"> </t>
    </r>
    <r>
      <rPr>
        <b/>
        <sz val="11"/>
        <color rgb="FFFF0000"/>
        <rFont val="Calibri"/>
        <family val="2"/>
        <charset val="162"/>
        <scheme val="minor"/>
      </rPr>
      <t>(PANODAN YEKPARE 5x2,5 mm2 NHXMH KABLO İLE)</t>
    </r>
  </si>
  <si>
    <r>
      <t xml:space="preserve">GÜVENLİK HATLI PRİZ SORTİ </t>
    </r>
    <r>
      <rPr>
        <b/>
        <sz val="8"/>
        <color rgb="FF000000"/>
        <rFont val="Calibri"/>
        <family val="2"/>
        <charset val="162"/>
        <scheme val="minor"/>
      </rPr>
      <t xml:space="preserve"> </t>
    </r>
    <r>
      <rPr>
        <b/>
        <sz val="11"/>
        <color rgb="FFFF0000"/>
        <rFont val="Calibri"/>
        <family val="2"/>
        <charset val="162"/>
        <scheme val="minor"/>
      </rPr>
      <t>(3x2,5 mm2 NHXMH KABLO İLE)</t>
    </r>
  </si>
  <si>
    <t>FİRMA KARI</t>
  </si>
  <si>
    <t>FİRMA KARI TUTAR 
TL</t>
  </si>
  <si>
    <r>
      <t xml:space="preserve">N.ANAHTAR AYDINLATMA  SORTİ </t>
    </r>
    <r>
      <rPr>
        <b/>
        <sz val="11"/>
        <color rgb="FFFF0000"/>
        <rFont val="Calibri"/>
        <family val="2"/>
        <charset val="162"/>
        <scheme val="minor"/>
      </rPr>
      <t>(3x1,5 mm2 NHXMH KABLO İLE)</t>
    </r>
  </si>
  <si>
    <r>
      <t xml:space="preserve">VEAVİEN ANAHTAR AYDINLATMA  SORTİ </t>
    </r>
    <r>
      <rPr>
        <b/>
        <sz val="11"/>
        <color rgb="FFFF0000"/>
        <rFont val="Calibri"/>
        <family val="2"/>
        <charset val="162"/>
        <scheme val="minor"/>
      </rPr>
      <t>(3x1,5 mm2 NHXMH KABLO İLE)</t>
    </r>
  </si>
  <si>
    <r>
      <t xml:space="preserve">DİAFON SORTİ </t>
    </r>
    <r>
      <rPr>
        <b/>
        <sz val="11"/>
        <color rgb="FFFF0000"/>
        <rFont val="Calibri"/>
        <family val="2"/>
        <charset val="162"/>
        <scheme val="minor"/>
      </rPr>
      <t>(2x1,5 mm2 NHXMH İLE)</t>
    </r>
  </si>
  <si>
    <r>
      <t xml:space="preserve">ASPIRATÖR SORTİ </t>
    </r>
    <r>
      <rPr>
        <b/>
        <sz val="8"/>
        <color rgb="FFFF0000"/>
        <rFont val="Calibri"/>
        <family val="2"/>
        <charset val="162"/>
        <scheme val="minor"/>
      </rPr>
      <t xml:space="preserve"> </t>
    </r>
    <r>
      <rPr>
        <b/>
        <sz val="11"/>
        <color rgb="FFFF0000"/>
        <rFont val="Calibri"/>
        <family val="2"/>
        <charset val="162"/>
        <scheme val="minor"/>
      </rPr>
      <t>(PANODAN YEKPARE 3x2,5mm2 NHXMH KABLO İLE)</t>
    </r>
  </si>
  <si>
    <r>
      <t>ÇAMAŞIR - KURUTMA MAKİNASI SORTİ</t>
    </r>
    <r>
      <rPr>
        <b/>
        <sz val="8"/>
        <color rgb="FFFF0000"/>
        <rFont val="Calibri"/>
        <family val="2"/>
        <charset val="162"/>
        <scheme val="minor"/>
      </rPr>
      <t xml:space="preserve">  </t>
    </r>
    <r>
      <rPr>
        <b/>
        <sz val="11"/>
        <color rgb="FFFF0000"/>
        <rFont val="Calibri"/>
        <family val="2"/>
        <charset val="162"/>
        <scheme val="minor"/>
      </rPr>
      <t>(PANODAN YEKPARE 3x2,5mm2 NHXMH KABLO İLE)</t>
    </r>
  </si>
  <si>
    <r>
      <t xml:space="preserve">BULAŞIK MAKİNASI SORTİ </t>
    </r>
    <r>
      <rPr>
        <b/>
        <sz val="11"/>
        <color rgb="FFFF0000"/>
        <rFont val="Calibri"/>
        <family val="2"/>
        <charset val="162"/>
        <scheme val="minor"/>
      </rPr>
      <t>(PANODAN YEKPARE 3x2,5mm2 NHXMH KABLO İLE)</t>
    </r>
  </si>
  <si>
    <r>
      <t xml:space="preserve">KLİMA İÇ ÜNİTE SORTİ </t>
    </r>
    <r>
      <rPr>
        <b/>
        <sz val="11"/>
        <color rgb="FFFF0000"/>
        <rFont val="Calibri"/>
        <family val="2"/>
        <charset val="162"/>
        <scheme val="minor"/>
      </rPr>
      <t>(PANODAN YEKPARE 3x2,5mm2 NHXMH KABLO İLE)</t>
    </r>
  </si>
  <si>
    <r>
      <t xml:space="preserve">AYDINLATMA  BESLEME SORTİ </t>
    </r>
    <r>
      <rPr>
        <b/>
        <sz val="11"/>
        <color rgb="FFFF0000"/>
        <rFont val="Calibri"/>
        <family val="2"/>
        <charset val="162"/>
        <scheme val="minor"/>
      </rPr>
      <t>(2x1,5 mm2 NHXMH KABLO İLE)</t>
    </r>
  </si>
  <si>
    <r>
      <t xml:space="preserve">DATA SORTİ </t>
    </r>
    <r>
      <rPr>
        <b/>
        <sz val="11"/>
        <color rgb="FFFF0000"/>
        <rFont val="Calibri"/>
        <family val="2"/>
        <charset val="162"/>
        <scheme val="minor"/>
      </rPr>
      <t>(PANODAN YEKPARE CAT6 KABLO İLE)</t>
    </r>
  </si>
  <si>
    <r>
      <t xml:space="preserve">TV SORTİ </t>
    </r>
    <r>
      <rPr>
        <b/>
        <sz val="11"/>
        <color rgb="FFFF0000"/>
        <rFont val="Calibri"/>
        <family val="2"/>
        <charset val="162"/>
        <scheme val="minor"/>
      </rPr>
      <t>(PANODAN YEKPARERG6U6 KABLO İLE)</t>
    </r>
  </si>
  <si>
    <r>
      <t xml:space="preserve">SENSÖRLÜ AYDINLATMA  BESLEME SORTİ </t>
    </r>
    <r>
      <rPr>
        <b/>
        <sz val="11"/>
        <color rgb="FFFF0000"/>
        <rFont val="Calibri"/>
        <family val="2"/>
        <charset val="162"/>
        <scheme val="minor"/>
      </rPr>
      <t>(2x1,5 mm2 NHXMH KABLO İLE)</t>
    </r>
  </si>
  <si>
    <t>ANA DAĞITIM PANOSU - ZAYIF AKIM PANOSU - KAT BESLEMELERİ KUVVET KABLOLAMA</t>
  </si>
  <si>
    <t>ANAHTAR PRİZ AYDINLATMA MONTAJ</t>
  </si>
  <si>
    <t>NORMAL ANAHTAR</t>
  </si>
  <si>
    <t>PRİZ</t>
  </si>
  <si>
    <t>TV PRİZ</t>
  </si>
  <si>
    <t>DATA PRİZ</t>
  </si>
  <si>
    <t>TEKLİ ÇERÇEVE</t>
  </si>
  <si>
    <t>İKİLİ ÇERÇEVE</t>
  </si>
  <si>
    <t>ÜÇLÜ ÇERÇEVE</t>
  </si>
  <si>
    <t>.</t>
  </si>
  <si>
    <t>ANAHTAR PRİZ ÜRÜNLERİ FİYATA DAHİL EDİLMEMİŞTİR.</t>
  </si>
  <si>
    <t xml:space="preserve">İÇ TESİSAT İŞLERİ </t>
  </si>
  <si>
    <r>
      <t xml:space="preserve">FIRIN  SORTİSİ </t>
    </r>
    <r>
      <rPr>
        <b/>
        <sz val="8"/>
        <color rgb="FFFF0000"/>
        <rFont val="Calibri"/>
        <family val="2"/>
        <charset val="162"/>
        <scheme val="minor"/>
      </rPr>
      <t xml:space="preserve"> </t>
    </r>
    <r>
      <rPr>
        <b/>
        <sz val="11"/>
        <color rgb="FFFF0000"/>
        <rFont val="Calibri"/>
        <family val="2"/>
        <charset val="162"/>
        <scheme val="minor"/>
      </rPr>
      <t>(PANODAN YEKPARE 3X2,5 mm2 NHXMH KABLO İLE)</t>
    </r>
  </si>
  <si>
    <r>
      <t xml:space="preserve">DEVİATÖR ANAHTAR AYDINLATMA  SORTİ </t>
    </r>
    <r>
      <rPr>
        <b/>
        <sz val="11"/>
        <color rgb="FFFF0000"/>
        <rFont val="Calibri"/>
        <family val="2"/>
        <charset val="162"/>
        <scheme val="minor"/>
      </rPr>
      <t>(3x1,5 mm2 NHXMH KABLO İLE)</t>
    </r>
  </si>
  <si>
    <r>
      <t xml:space="preserve">BUZDOLABI SORTİSİ </t>
    </r>
    <r>
      <rPr>
        <b/>
        <sz val="11"/>
        <color rgb="FFFF0000"/>
        <rFont val="Calibri"/>
        <family val="2"/>
        <charset val="162"/>
        <scheme val="minor"/>
      </rPr>
      <t>(PANODAN YEKPARE 5x2,5 mm2 NHXMH KABLO İLE)</t>
    </r>
  </si>
  <si>
    <r>
      <t xml:space="preserve">PARALEL AYDINLATMA  BESLEME SORTİ </t>
    </r>
    <r>
      <rPr>
        <b/>
        <sz val="11"/>
        <color rgb="FFFF0000"/>
        <rFont val="Calibri"/>
        <family val="2"/>
        <charset val="162"/>
        <scheme val="minor"/>
      </rPr>
      <t>(2x1,5 mm2 NHXMH KABLO İLE)</t>
    </r>
  </si>
  <si>
    <r>
      <t xml:space="preserve">KLİMA DIŞ ÜNİTE SORTİ </t>
    </r>
    <r>
      <rPr>
        <b/>
        <sz val="11"/>
        <color rgb="FFFF0000"/>
        <rFont val="Calibri"/>
        <family val="2"/>
        <charset val="162"/>
        <scheme val="minor"/>
      </rPr>
      <t>(PANODAN YEKPARE 3x2,5mm2 NHXMH KABLO İLE)</t>
    </r>
  </si>
  <si>
    <t>36 LI SİGORTA KUTUSU LEGRAND ŞALT DAHİL</t>
  </si>
  <si>
    <t>12 Lİ SİGORTA KUTUSU (ZAYIF AKIM)</t>
  </si>
  <si>
    <t>LEGRAND-MUTLUSAN</t>
  </si>
  <si>
    <t>VEAVİEN ANAHTAR</t>
  </si>
  <si>
    <t>DEVİATÖR ANAHTAR</t>
  </si>
  <si>
    <t>KAPAKLI PRİZ</t>
  </si>
  <si>
    <t>SARKIT AYDINLATMA</t>
  </si>
  <si>
    <t>APLİK AYDINLATMA</t>
  </si>
  <si>
    <t>LED MONTAJI</t>
  </si>
  <si>
    <t>DÖRTLÜ ÇERÇEVE</t>
  </si>
  <si>
    <t>İSLAMHANELERİ İÇ TESİSAT ELEKTRİK İŞLERİ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</si>
</sst>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₺&quot;* #,##0.00_-;\-&quot;₺&quot;* #,##0.00_-;_-&quot;₺&quot;* &quot;-&quot;??_-;_-@_-"/>
    <numFmt numFmtId="164" formatCode="[$-41F]d\ mmmm\ yyyy;@"/>
    <numFmt numFmtId="165" formatCode="_-* #,##0.00\ &quot;TL&quot;_-;\-* #,##0.00\ &quot;TL&quot;_-;_-* &quot;-&quot;??\ &quot;TL&quot;_-;_-@_-"/>
    <numFmt numFmtId="166" formatCode="dd/mm/yyyy;@"/>
  </numFmts>
  <fonts count="42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0"/>
      <color rgb="FF000000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name val="Arial Tur"/>
      <charset val="162"/>
    </font>
    <font>
      <sz val="11"/>
      <name val="Arial"/>
      <family val="2"/>
      <charset val="162"/>
    </font>
    <font>
      <b/>
      <sz val="11"/>
      <name val="Arial"/>
      <family val="2"/>
      <charset val="162"/>
    </font>
    <font>
      <sz val="11"/>
      <color theme="1"/>
      <name val="Arial"/>
      <family val="2"/>
      <charset val="162"/>
    </font>
    <font>
      <b/>
      <sz val="8"/>
      <color theme="1"/>
      <name val="Arial"/>
      <family val="2"/>
      <charset val="162"/>
    </font>
    <font>
      <sz val="8"/>
      <color theme="1"/>
      <name val="Arial"/>
      <family val="2"/>
      <charset val="162"/>
    </font>
    <font>
      <b/>
      <sz val="14"/>
      <color rgb="FFFF0000"/>
      <name val="Calibri"/>
      <family val="2"/>
      <charset val="162"/>
      <scheme val="minor"/>
    </font>
    <font>
      <b/>
      <sz val="11"/>
      <color rgb="FFFF0000"/>
      <name val="Arial"/>
      <family val="2"/>
      <charset val="162"/>
    </font>
    <font>
      <b/>
      <sz val="14"/>
      <color rgb="FF0070C0"/>
      <name val="Arial"/>
      <family val="2"/>
      <charset val="162"/>
    </font>
    <font>
      <b/>
      <sz val="11"/>
      <color rgb="FF000000"/>
      <name val="Calibri"/>
      <family val="2"/>
      <charset val="162"/>
      <scheme val="minor"/>
    </font>
    <font>
      <sz val="8"/>
      <color rgb="FF00000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color rgb="FFFF0000"/>
      <name val="Arial"/>
      <family val="2"/>
      <charset val="162"/>
    </font>
    <font>
      <b/>
      <sz val="11"/>
      <name val="Calibri"/>
      <family val="2"/>
      <charset val="162"/>
      <scheme val="minor"/>
    </font>
    <font>
      <b/>
      <sz val="8"/>
      <name val="Arial"/>
      <family val="2"/>
      <charset val="162"/>
    </font>
    <font>
      <b/>
      <sz val="16"/>
      <color rgb="FFFF0000"/>
      <name val="Calibri"/>
      <family val="2"/>
      <charset val="162"/>
      <scheme val="minor"/>
    </font>
    <font>
      <b/>
      <sz val="10"/>
      <color rgb="FFFF0000"/>
      <name val="Arial Tur"/>
      <family val="2"/>
      <charset val="162"/>
    </font>
    <font>
      <b/>
      <sz val="10"/>
      <color rgb="FFFF0000"/>
      <name val="Calibri"/>
      <family val="2"/>
      <charset val="162"/>
      <scheme val="minor"/>
    </font>
    <font>
      <b/>
      <sz val="10"/>
      <color rgb="FFFF0000"/>
      <name val="Arial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color rgb="FFFF0000"/>
      <name val="Arial"/>
      <family val="2"/>
      <charset val="162"/>
    </font>
    <font>
      <b/>
      <sz val="10"/>
      <color rgb="FF000000"/>
      <name val="Calibri"/>
      <family val="2"/>
      <charset val="162"/>
    </font>
    <font>
      <sz val="8"/>
      <color rgb="FF00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sz val="10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b/>
      <sz val="10"/>
      <color rgb="FFFF0000"/>
      <name val="Arial"/>
      <family val="2"/>
      <charset val="162"/>
    </font>
    <font>
      <b/>
      <sz val="8"/>
      <color rgb="FF00000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  <font>
      <sz val="10"/>
      <color rgb="FF000000"/>
      <name val="Calibri"/>
      <family val="2"/>
      <charset val="162"/>
    </font>
    <font>
      <sz val="10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0" fontId="5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4" fillId="0" borderId="0">
      <protection locked="0"/>
    </xf>
  </cellStyleXfs>
  <cellXfs count="102">
    <xf numFmtId="0" fontId="0" fillId="0" borderId="0" xfId="0"/>
    <xf numFmtId="0" fontId="8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7" fillId="0" borderId="1" xfId="7" applyFont="1" applyBorder="1" applyAlignment="1">
      <alignment horizontal="center" vertical="center" wrapText="1"/>
    </xf>
    <xf numFmtId="0" fontId="7" fillId="0" borderId="1" xfId="7" applyFont="1" applyBorder="1" applyAlignment="1">
      <alignment horizontal="left" vertical="center" wrapText="1"/>
    </xf>
    <xf numFmtId="0" fontId="7" fillId="0" borderId="0" xfId="7" applyFont="1" applyAlignment="1">
      <alignment horizontal="left" vertical="center" wrapText="1"/>
    </xf>
    <xf numFmtId="0" fontId="8" fillId="0" borderId="2" xfId="0" applyFont="1" applyBorder="1" applyAlignment="1">
      <alignment horizontal="center"/>
    </xf>
    <xf numFmtId="0" fontId="8" fillId="0" borderId="3" xfId="0" applyFont="1" applyBorder="1"/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7" fillId="0" borderId="7" xfId="7" applyFont="1" applyBorder="1" applyAlignment="1">
      <alignment horizontal="center" vertical="center" wrapText="1"/>
    </xf>
    <xf numFmtId="0" fontId="7" fillId="0" borderId="8" xfId="7" applyFont="1" applyBorder="1" applyAlignment="1">
      <alignment horizontal="center" vertical="center" wrapText="1"/>
    </xf>
    <xf numFmtId="0" fontId="6" fillId="0" borderId="9" xfId="7" applyFont="1" applyBorder="1" applyAlignment="1">
      <alignment horizontal="center" vertical="center" wrapText="1"/>
    </xf>
    <xf numFmtId="0" fontId="12" fillId="0" borderId="10" xfId="7" applyFont="1" applyBorder="1" applyAlignment="1">
      <alignment horizontal="left" vertical="center" wrapText="1"/>
    </xf>
    <xf numFmtId="4" fontId="6" fillId="0" borderId="11" xfId="7" applyNumberFormat="1" applyFont="1" applyBorder="1" applyAlignment="1">
      <alignment horizontal="right" vertical="center" wrapText="1"/>
    </xf>
    <xf numFmtId="0" fontId="6" fillId="0" borderId="11" xfId="7" applyFont="1" applyBorder="1" applyAlignment="1">
      <alignment horizontal="center" vertical="center" wrapText="1"/>
    </xf>
    <xf numFmtId="4" fontId="6" fillId="0" borderId="12" xfId="7" applyNumberFormat="1" applyFont="1" applyBorder="1" applyAlignment="1">
      <alignment horizontal="right" vertical="center" wrapText="1"/>
    </xf>
    <xf numFmtId="0" fontId="13" fillId="0" borderId="0" xfId="0" applyFont="1"/>
    <xf numFmtId="0" fontId="6" fillId="0" borderId="5" xfId="7" applyFont="1" applyBorder="1" applyAlignment="1">
      <alignment horizontal="center" vertical="center" wrapText="1"/>
    </xf>
    <xf numFmtId="4" fontId="12" fillId="0" borderId="14" xfId="7" applyNumberFormat="1" applyFont="1" applyBorder="1" applyAlignment="1">
      <alignment horizontal="right" vertical="center" wrapText="1"/>
    </xf>
    <xf numFmtId="4" fontId="12" fillId="0" borderId="8" xfId="7" applyNumberFormat="1" applyFont="1" applyBorder="1" applyAlignment="1">
      <alignment horizontal="right" vertical="center" wrapText="1"/>
    </xf>
    <xf numFmtId="15" fontId="16" fillId="2" borderId="4" xfId="0" applyNumberFormat="1" applyFont="1" applyFill="1" applyBorder="1" applyAlignment="1">
      <alignment vertical="center"/>
    </xf>
    <xf numFmtId="164" fontId="17" fillId="0" borderId="6" xfId="0" applyNumberFormat="1" applyFont="1" applyBorder="1" applyAlignment="1">
      <alignment vertical="center"/>
    </xf>
    <xf numFmtId="0" fontId="19" fillId="0" borderId="0" xfId="0" applyFont="1"/>
    <xf numFmtId="0" fontId="7" fillId="0" borderId="0" xfId="0" applyFont="1"/>
    <xf numFmtId="4" fontId="7" fillId="0" borderId="8" xfId="7" applyNumberFormat="1" applyFont="1" applyBorder="1" applyAlignment="1">
      <alignment horizontal="right" vertical="center" wrapText="1"/>
    </xf>
    <xf numFmtId="165" fontId="2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44" fontId="25" fillId="2" borderId="20" xfId="0" applyNumberFormat="1" applyFont="1" applyFill="1" applyBorder="1"/>
    <xf numFmtId="44" fontId="25" fillId="2" borderId="21" xfId="0" applyNumberFormat="1" applyFont="1" applyFill="1" applyBorder="1"/>
    <xf numFmtId="44" fontId="25" fillId="2" borderId="1" xfId="0" applyNumberFormat="1" applyFont="1" applyFill="1" applyBorder="1"/>
    <xf numFmtId="44" fontId="25" fillId="2" borderId="8" xfId="0" applyNumberFormat="1" applyFont="1" applyFill="1" applyBorder="1"/>
    <xf numFmtId="0" fontId="26" fillId="2" borderId="0" xfId="0" applyFont="1" applyFill="1"/>
    <xf numFmtId="0" fontId="26" fillId="0" borderId="0" xfId="0" applyFont="1"/>
    <xf numFmtId="0" fontId="22" fillId="3" borderId="18" xfId="8" applyFont="1" applyFill="1" applyBorder="1" applyAlignment="1">
      <alignment horizontal="center" vertical="center"/>
    </xf>
    <xf numFmtId="0" fontId="23" fillId="3" borderId="19" xfId="8" applyFont="1" applyFill="1" applyBorder="1" applyAlignment="1">
      <alignment horizontal="center" vertical="center"/>
    </xf>
    <xf numFmtId="0" fontId="2" fillId="0" borderId="22" xfId="8" applyFont="1" applyBorder="1" applyAlignment="1">
      <alignment horizontal="center" vertical="center"/>
    </xf>
    <xf numFmtId="0" fontId="22" fillId="3" borderId="27" xfId="8" applyFont="1" applyFill="1" applyBorder="1" applyAlignment="1">
      <alignment horizontal="center" vertical="center"/>
    </xf>
    <xf numFmtId="0" fontId="23" fillId="3" borderId="28" xfId="8" applyFont="1" applyFill="1" applyBorder="1" applyAlignment="1">
      <alignment horizontal="center" vertical="center"/>
    </xf>
    <xf numFmtId="0" fontId="26" fillId="4" borderId="23" xfId="8" applyFont="1" applyFill="1" applyBorder="1"/>
    <xf numFmtId="0" fontId="18" fillId="4" borderId="25" xfId="0" applyFont="1" applyFill="1" applyBorder="1" applyAlignment="1">
      <alignment horizontal="center" vertical="center"/>
    </xf>
    <xf numFmtId="44" fontId="18" fillId="4" borderId="26" xfId="0" applyNumberFormat="1" applyFont="1" applyFill="1" applyBorder="1" applyAlignment="1">
      <alignment horizontal="center" vertical="center"/>
    </xf>
    <xf numFmtId="44" fontId="18" fillId="4" borderId="24" xfId="0" applyNumberFormat="1" applyFont="1" applyFill="1" applyBorder="1" applyAlignment="1">
      <alignment horizontal="center" vertical="center"/>
    </xf>
    <xf numFmtId="0" fontId="18" fillId="4" borderId="25" xfId="0" applyFont="1" applyFill="1" applyBorder="1" applyAlignment="1">
      <alignment horizontal="center" vertical="center" wrapText="1"/>
    </xf>
    <xf numFmtId="44" fontId="27" fillId="4" borderId="25" xfId="0" applyNumberFormat="1" applyFont="1" applyFill="1" applyBorder="1" applyAlignment="1">
      <alignment horizontal="center" vertical="center"/>
    </xf>
    <xf numFmtId="0" fontId="23" fillId="3" borderId="30" xfId="8" applyFont="1" applyFill="1" applyBorder="1" applyAlignment="1">
      <alignment horizontal="center" vertical="center"/>
    </xf>
    <xf numFmtId="0" fontId="12" fillId="0" borderId="1" xfId="7" applyFont="1" applyBorder="1" applyAlignment="1">
      <alignment vertical="center" wrapText="1"/>
    </xf>
    <xf numFmtId="0" fontId="12" fillId="0" borderId="13" xfId="7" applyFont="1" applyBorder="1" applyAlignment="1">
      <alignment vertical="center" wrapText="1"/>
    </xf>
    <xf numFmtId="0" fontId="23" fillId="3" borderId="31" xfId="8" applyFont="1" applyFill="1" applyBorder="1" applyAlignment="1">
      <alignment horizontal="center" vertical="center"/>
    </xf>
    <xf numFmtId="0" fontId="0" fillId="2" borderId="3" xfId="0" applyFill="1" applyBorder="1"/>
    <xf numFmtId="0" fontId="23" fillId="3" borderId="32" xfId="8" applyFont="1" applyFill="1" applyBorder="1" applyAlignment="1">
      <alignment horizontal="center" vertical="center"/>
    </xf>
    <xf numFmtId="44" fontId="18" fillId="4" borderId="23" xfId="0" applyNumberFormat="1" applyFont="1" applyFill="1" applyBorder="1" applyAlignment="1">
      <alignment horizontal="center" vertical="center"/>
    </xf>
    <xf numFmtId="44" fontId="27" fillId="4" borderId="24" xfId="0" applyNumberFormat="1" applyFont="1" applyFill="1" applyBorder="1" applyAlignment="1">
      <alignment horizontal="center" vertical="center"/>
    </xf>
    <xf numFmtId="0" fontId="2" fillId="2" borderId="22" xfId="8" applyFont="1" applyFill="1" applyBorder="1" applyAlignment="1">
      <alignment horizontal="center" vertical="center"/>
    </xf>
    <xf numFmtId="0" fontId="30" fillId="2" borderId="33" xfId="0" applyFont="1" applyFill="1" applyBorder="1"/>
    <xf numFmtId="166" fontId="28" fillId="2" borderId="4" xfId="0" applyNumberFormat="1" applyFont="1" applyFill="1" applyBorder="1"/>
    <xf numFmtId="0" fontId="0" fillId="2" borderId="3" xfId="0" applyFill="1" applyBorder="1" applyAlignment="1">
      <alignment wrapText="1"/>
    </xf>
    <xf numFmtId="0" fontId="18" fillId="0" borderId="0" xfId="0" applyFont="1" applyAlignment="1">
      <alignment horizontal="left"/>
    </xf>
    <xf numFmtId="9" fontId="35" fillId="0" borderId="0" xfId="9" applyFont="1" applyFill="1" applyBorder="1" applyAlignment="1">
      <alignment horizontal="center" vertical="center"/>
    </xf>
    <xf numFmtId="44" fontId="18" fillId="4" borderId="25" xfId="0" applyNumberFormat="1" applyFont="1" applyFill="1" applyBorder="1" applyAlignment="1">
      <alignment horizontal="center" vertical="center"/>
    </xf>
    <xf numFmtId="44" fontId="25" fillId="0" borderId="1" xfId="0" applyNumberFormat="1" applyFont="1" applyBorder="1"/>
    <xf numFmtId="44" fontId="25" fillId="0" borderId="20" xfId="0" applyNumberFormat="1" applyFont="1" applyBorder="1"/>
    <xf numFmtId="44" fontId="25" fillId="0" borderId="8" xfId="0" applyNumberFormat="1" applyFont="1" applyBorder="1"/>
    <xf numFmtId="4" fontId="35" fillId="0" borderId="0" xfId="5" applyNumberFormat="1" applyFont="1" applyAlignment="1">
      <alignment vertical="center" wrapText="1"/>
    </xf>
    <xf numFmtId="0" fontId="40" fillId="0" borderId="0" xfId="0" applyFont="1"/>
    <xf numFmtId="4" fontId="35" fillId="0" borderId="0" xfId="5" applyNumberFormat="1" applyFont="1" applyAlignment="1">
      <alignment horizontal="center" vertical="center" wrapText="1"/>
    </xf>
    <xf numFmtId="0" fontId="15" fillId="0" borderId="1" xfId="8" applyFont="1" applyBorder="1" applyAlignment="1">
      <alignment horizontal="center" vertical="center"/>
    </xf>
    <xf numFmtId="0" fontId="24" fillId="0" borderId="1" xfId="8" applyFont="1" applyBorder="1" applyAlignment="1">
      <alignment horizontal="center" vertical="center"/>
    </xf>
    <xf numFmtId="0" fontId="2" fillId="0" borderId="29" xfId="8" applyFont="1" applyBorder="1" applyAlignment="1">
      <alignment horizontal="center" vertical="center"/>
    </xf>
    <xf numFmtId="44" fontId="25" fillId="0" borderId="21" xfId="0" applyNumberFormat="1" applyFont="1" applyBorder="1"/>
    <xf numFmtId="0" fontId="15" fillId="0" borderId="20" xfId="8" applyFont="1" applyBorder="1" applyAlignment="1">
      <alignment horizontal="center" vertical="center"/>
    </xf>
    <xf numFmtId="0" fontId="24" fillId="0" borderId="20" xfId="8" applyFont="1" applyBorder="1" applyAlignment="1">
      <alignment horizontal="center" vertical="center"/>
    </xf>
    <xf numFmtId="0" fontId="31" fillId="2" borderId="34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6" fillId="4" borderId="23" xfId="8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6" fillId="4" borderId="26" xfId="8" applyFont="1" applyFill="1" applyBorder="1" applyAlignment="1">
      <alignment horizontal="center" vertical="center"/>
    </xf>
    <xf numFmtId="0" fontId="18" fillId="0" borderId="20" xfId="8" applyFont="1" applyBorder="1" applyAlignment="1">
      <alignment horizontal="center" vertical="center"/>
    </xf>
    <xf numFmtId="0" fontId="18" fillId="0" borderId="1" xfId="8" applyFont="1" applyBorder="1" applyAlignment="1">
      <alignment horizontal="center" vertical="center"/>
    </xf>
    <xf numFmtId="0" fontId="32" fillId="2" borderId="34" xfId="0" applyFont="1" applyFill="1" applyBorder="1" applyAlignment="1">
      <alignment horizontal="center" vertical="center"/>
    </xf>
    <xf numFmtId="0" fontId="26" fillId="4" borderId="24" xfId="8" applyFont="1" applyFill="1" applyBorder="1" applyAlignment="1">
      <alignment horizontal="center" vertical="center"/>
    </xf>
    <xf numFmtId="0" fontId="39" fillId="2" borderId="35" xfId="0" applyFont="1" applyFill="1" applyBorder="1" applyAlignment="1">
      <alignment horizontal="center" vertical="center"/>
    </xf>
    <xf numFmtId="0" fontId="33" fillId="2" borderId="35" xfId="0" applyFont="1" applyFill="1" applyBorder="1" applyAlignment="1">
      <alignment horizontal="center" vertical="center"/>
    </xf>
    <xf numFmtId="0" fontId="23" fillId="3" borderId="36" xfId="8" applyFont="1" applyFill="1" applyBorder="1" applyAlignment="1">
      <alignment horizontal="left" vertical="center"/>
    </xf>
    <xf numFmtId="0" fontId="14" fillId="0" borderId="37" xfId="8" applyFont="1" applyBorder="1" applyAlignment="1">
      <alignment horizontal="left" vertical="center"/>
    </xf>
    <xf numFmtId="0" fontId="15" fillId="0" borderId="20" xfId="10" applyFont="1" applyBorder="1" applyAlignment="1">
      <alignment horizontal="center" vertical="center"/>
    </xf>
    <xf numFmtId="0" fontId="18" fillId="0" borderId="20" xfId="10" applyFont="1" applyBorder="1" applyAlignment="1">
      <alignment horizontal="center" vertical="center"/>
    </xf>
    <xf numFmtId="0" fontId="24" fillId="0" borderId="20" xfId="10" applyFont="1" applyBorder="1" applyAlignment="1">
      <alignment horizontal="center" vertical="center"/>
    </xf>
    <xf numFmtId="0" fontId="18" fillId="0" borderId="1" xfId="10" applyFont="1" applyBorder="1" applyAlignment="1">
      <alignment horizontal="center" vertical="center"/>
    </xf>
    <xf numFmtId="0" fontId="24" fillId="0" borderId="1" xfId="1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29" fillId="0" borderId="3" xfId="7" applyFont="1" applyBorder="1" applyAlignment="1">
      <alignment horizontal="left" vertical="center" wrapText="1"/>
    </xf>
    <xf numFmtId="0" fontId="18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165" fontId="21" fillId="2" borderId="16" xfId="0" applyNumberFormat="1" applyFont="1" applyFill="1" applyBorder="1" applyAlignment="1">
      <alignment horizontal="center" vertical="center" wrapText="1"/>
    </xf>
    <xf numFmtId="165" fontId="21" fillId="2" borderId="17" xfId="0" applyNumberFormat="1" applyFont="1" applyFill="1" applyBorder="1" applyAlignment="1">
      <alignment horizontal="center" vertical="center" wrapText="1"/>
    </xf>
    <xf numFmtId="165" fontId="21" fillId="2" borderId="16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</cellXfs>
  <cellStyles count="12">
    <cellStyle name="_x000d__x000a_JournalTemplate=C:\COMFO\CTALK\JOURSTD.TPL_x000d__x000a_LbStateAddress=3 3 0 251 1 89 2 311_x000d__x000a_LbStateJou" xfId="5" xr:uid="{00000000-0005-0000-0000-000000000000}"/>
    <cellStyle name="Normal" xfId="0" builtinId="0"/>
    <cellStyle name="Normal 10" xfId="4" xr:uid="{00000000-0005-0000-0000-000003000000}"/>
    <cellStyle name="Normal 16" xfId="8" xr:uid="{8D5BC370-B521-40EB-A3BF-070636ED8748}"/>
    <cellStyle name="Normal 16 5" xfId="11" xr:uid="{E1D3A796-43DC-4E53-9DC3-F07EF7186086}"/>
    <cellStyle name="Normal 16 6" xfId="10" xr:uid="{C69CC294-9FF8-462F-9662-42A9FF4CAEFF}"/>
    <cellStyle name="Normal 5" xfId="1" xr:uid="{00000000-0005-0000-0000-000004000000}"/>
    <cellStyle name="Normal 7" xfId="2" xr:uid="{00000000-0005-0000-0000-000005000000}"/>
    <cellStyle name="Normal 8" xfId="3" xr:uid="{00000000-0005-0000-0000-000006000000}"/>
    <cellStyle name="Normal_B BLOK YMP-İSTANBUL 3000 KİŞİLİK ÖĞRENCİ YURDU  YURT BLOĞU" xfId="7" xr:uid="{00000000-0005-0000-0000-000009000000}"/>
    <cellStyle name="Yüzde" xfId="9" builtinId="5"/>
    <cellStyle name="Yüzde 2" xfId="6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83819</xdr:colOff>
      <xdr:row>1</xdr:row>
      <xdr:rowOff>84364</xdr:rowOff>
    </xdr:from>
    <xdr:to>
      <xdr:col>2</xdr:col>
      <xdr:colOff>2849880</xdr:colOff>
      <xdr:row>1</xdr:row>
      <xdr:rowOff>998491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019" y="259624"/>
          <a:ext cx="2766061" cy="9141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122821</xdr:colOff>
      <xdr:row>1</xdr:row>
      <xdr:rowOff>121958</xdr:rowOff>
    </xdr:from>
    <xdr:to>
      <xdr:col>3</xdr:col>
      <xdr:colOff>2790824</xdr:colOff>
      <xdr:row>1</xdr:row>
      <xdr:rowOff>904876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140F5AC4-22D4-4709-85DA-BBE83A0F9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621" y="722033"/>
          <a:ext cx="2668003" cy="7829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151397</xdr:colOff>
      <xdr:row>1</xdr:row>
      <xdr:rowOff>198158</xdr:rowOff>
    </xdr:from>
    <xdr:to>
      <xdr:col>2</xdr:col>
      <xdr:colOff>3363057</xdr:colOff>
      <xdr:row>2</xdr:row>
      <xdr:rowOff>289219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FF60FB4D-2670-4F8D-B6C5-4973C5F9C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022" y="801408"/>
          <a:ext cx="3214103" cy="1027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27"/>
  <sheetViews>
    <sheetView tabSelected="1" view="pageBreakPreview" zoomScaleNormal="100" zoomScaleSheetLayoutView="100" workbookViewId="0">
      <selection activeCell="B11" sqref="B11:J11"/>
    </sheetView>
  </sheetViews>
  <sheetFormatPr defaultColWidth="8.85546875" defaultRowHeight="14.25" x14ac:dyDescent="0.2"/>
  <cols>
    <col min="1" max="1" width="12.85546875" style="2" customWidth="1"/>
    <col min="2" max="2" width="8.85546875" style="1"/>
    <col min="3" max="3" width="68.85546875" style="2" customWidth="1"/>
    <col min="4" max="4" width="19.140625" style="2" bestFit="1" customWidth="1"/>
    <col min="5" max="5" width="16.28515625" style="2" bestFit="1" customWidth="1"/>
    <col min="6" max="7" width="16.28515625" style="2" customWidth="1"/>
    <col min="8" max="8" width="15.28515625" style="2" customWidth="1"/>
    <col min="9" max="9" width="10.7109375" style="1" customWidth="1"/>
    <col min="10" max="10" width="23.7109375" style="2" customWidth="1"/>
    <col min="11" max="11" width="12.7109375" style="2" customWidth="1"/>
    <col min="12" max="12" width="18.5703125" style="2" customWidth="1"/>
    <col min="13" max="16384" width="8.85546875" style="2"/>
  </cols>
  <sheetData>
    <row r="1" spans="2:13" ht="33" customHeight="1" thickBot="1" x14ac:dyDescent="0.25"/>
    <row r="2" spans="2:13" ht="83.45" customHeight="1" x14ac:dyDescent="0.2">
      <c r="B2" s="8"/>
      <c r="C2" s="9"/>
      <c r="D2" s="9"/>
      <c r="E2" s="9"/>
      <c r="F2" s="9"/>
      <c r="G2" s="9"/>
      <c r="H2" s="9"/>
      <c r="I2" s="10"/>
      <c r="J2" s="23" t="s">
        <v>9</v>
      </c>
      <c r="K2" s="93"/>
      <c r="L2" s="93"/>
      <c r="M2" s="93"/>
    </row>
    <row r="3" spans="2:13" ht="21.6" customHeight="1" x14ac:dyDescent="0.25">
      <c r="B3" s="11"/>
      <c r="C3" s="19" t="s">
        <v>74</v>
      </c>
      <c r="J3" s="24">
        <v>46279</v>
      </c>
      <c r="K3" s="93"/>
      <c r="L3" s="93"/>
      <c r="M3" s="93"/>
    </row>
    <row r="4" spans="2:13" ht="42.75" customHeight="1" x14ac:dyDescent="0.2">
      <c r="B4" s="12" t="s">
        <v>4</v>
      </c>
      <c r="C4" s="6" t="s">
        <v>7</v>
      </c>
      <c r="D4" s="5" t="s">
        <v>2</v>
      </c>
      <c r="E4" s="5" t="s">
        <v>3</v>
      </c>
      <c r="F4" s="5" t="s">
        <v>27</v>
      </c>
      <c r="G4" s="5" t="s">
        <v>35</v>
      </c>
      <c r="H4" s="5" t="s">
        <v>5</v>
      </c>
      <c r="I4" s="5" t="s">
        <v>6</v>
      </c>
      <c r="J4" s="13" t="s">
        <v>56</v>
      </c>
      <c r="K4" s="93"/>
      <c r="L4" s="93"/>
      <c r="M4" s="93"/>
    </row>
    <row r="5" spans="2:13" x14ac:dyDescent="0.2">
      <c r="K5" s="93"/>
      <c r="L5" s="93"/>
      <c r="M5" s="93"/>
    </row>
    <row r="6" spans="2:13" ht="34.5" customHeight="1" x14ac:dyDescent="0.2">
      <c r="B6" s="12">
        <v>1</v>
      </c>
      <c r="C6" s="6" t="s">
        <v>58</v>
      </c>
      <c r="D6" s="16">
        <f>'İÇ TESİSAT'!I6</f>
        <v>137250</v>
      </c>
      <c r="E6" s="16">
        <f>'İÇ TESİSAT'!K6</f>
        <v>133250</v>
      </c>
      <c r="F6" s="16">
        <f>'İÇ TESİSAT'!M6</f>
        <v>27050</v>
      </c>
      <c r="G6" s="16">
        <f>'İÇ TESİSAT'!O6</f>
        <v>27050</v>
      </c>
      <c r="H6" s="16">
        <f>D6+E6+F6+G6</f>
        <v>324600</v>
      </c>
      <c r="I6" s="17">
        <v>18</v>
      </c>
      <c r="J6" s="18">
        <f>H6*I6</f>
        <v>5842800</v>
      </c>
      <c r="K6" s="93"/>
      <c r="L6" s="93"/>
      <c r="M6" s="93"/>
    </row>
    <row r="7" spans="2:13" ht="34.5" customHeight="1" x14ac:dyDescent="0.2">
      <c r="B7" s="12">
        <f>B6+1</f>
        <v>2</v>
      </c>
      <c r="C7" s="6" t="s">
        <v>48</v>
      </c>
      <c r="D7" s="16">
        <f>'MONTAJ '!H6</f>
        <v>0</v>
      </c>
      <c r="E7" s="16">
        <f>'MONTAJ '!J6</f>
        <v>18360</v>
      </c>
      <c r="F7" s="16">
        <f>'MONTAJ '!L6</f>
        <v>1836</v>
      </c>
      <c r="G7" s="16">
        <f>'MONTAJ '!N6</f>
        <v>1836</v>
      </c>
      <c r="H7" s="16">
        <f>D7+E7+F7+G7</f>
        <v>22032</v>
      </c>
      <c r="I7" s="17">
        <v>18</v>
      </c>
      <c r="J7" s="18">
        <f t="shared" ref="J7" si="0">H7*I7</f>
        <v>396576</v>
      </c>
      <c r="K7" s="93"/>
      <c r="L7" s="93"/>
      <c r="M7" s="93"/>
    </row>
    <row r="8" spans="2:13" ht="34.5" customHeight="1" x14ac:dyDescent="0.2">
      <c r="B8" s="20"/>
      <c r="C8" s="7"/>
      <c r="D8" s="49" t="s">
        <v>11</v>
      </c>
      <c r="E8" s="49"/>
      <c r="F8" s="49"/>
      <c r="G8" s="49"/>
      <c r="H8" s="49"/>
      <c r="I8" s="49"/>
      <c r="J8" s="22">
        <f>SUM(J6:J7)</f>
        <v>6239376</v>
      </c>
      <c r="K8" s="93"/>
      <c r="L8" s="93"/>
      <c r="M8" s="93"/>
    </row>
    <row r="9" spans="2:13" ht="34.5" customHeight="1" x14ac:dyDescent="0.2">
      <c r="B9" s="20"/>
      <c r="C9" s="7"/>
      <c r="D9" s="49" t="s">
        <v>12</v>
      </c>
      <c r="E9" s="49"/>
      <c r="F9" s="49"/>
      <c r="G9" s="49"/>
      <c r="H9" s="49"/>
      <c r="I9" s="49"/>
      <c r="J9" s="27">
        <f>J8*0.2</f>
        <v>1247875.2</v>
      </c>
      <c r="K9" s="93"/>
      <c r="L9" s="93"/>
      <c r="M9" s="93"/>
    </row>
    <row r="10" spans="2:13" ht="27" customHeight="1" thickBot="1" x14ac:dyDescent="0.25">
      <c r="B10" s="14"/>
      <c r="C10" s="15"/>
      <c r="D10" s="50" t="s">
        <v>10</v>
      </c>
      <c r="E10" s="50"/>
      <c r="F10" s="50"/>
      <c r="G10" s="50"/>
      <c r="H10" s="50"/>
      <c r="I10" s="50"/>
      <c r="J10" s="21">
        <f>SUM(J8:J9)</f>
        <v>7487251.2000000002</v>
      </c>
      <c r="K10" s="93"/>
      <c r="L10" s="93"/>
      <c r="M10" s="93"/>
    </row>
    <row r="11" spans="2:13" ht="27" customHeight="1" x14ac:dyDescent="0.2">
      <c r="B11" s="94"/>
      <c r="C11" s="94"/>
      <c r="D11" s="94"/>
      <c r="E11" s="94"/>
      <c r="F11" s="94"/>
      <c r="G11" s="94"/>
      <c r="H11" s="94"/>
      <c r="I11" s="94"/>
      <c r="J11" s="94"/>
      <c r="K11" s="93"/>
      <c r="L11" s="93"/>
      <c r="M11" s="93"/>
    </row>
    <row r="12" spans="2:13" ht="18.75" x14ac:dyDescent="0.3">
      <c r="B12" s="96" t="s">
        <v>8</v>
      </c>
      <c r="C12" s="96"/>
      <c r="D12" s="96"/>
      <c r="E12"/>
      <c r="F12"/>
      <c r="G12"/>
      <c r="H12"/>
      <c r="M12" s="93"/>
    </row>
    <row r="13" spans="2:13" ht="15" x14ac:dyDescent="0.25">
      <c r="B13" s="95" t="s">
        <v>57</v>
      </c>
      <c r="C13" s="95"/>
      <c r="D13" s="95"/>
      <c r="E13" s="95"/>
      <c r="F13" s="95"/>
      <c r="G13" s="60"/>
      <c r="H13" s="60"/>
      <c r="M13" s="93"/>
    </row>
    <row r="14" spans="2:13" ht="15" x14ac:dyDescent="0.25">
      <c r="B14" s="95" t="s">
        <v>14</v>
      </c>
      <c r="C14" s="95"/>
      <c r="D14" s="95"/>
      <c r="E14" s="95"/>
      <c r="F14" s="95"/>
      <c r="G14" s="60"/>
      <c r="H14" s="60"/>
      <c r="M14" s="93"/>
    </row>
    <row r="15" spans="2:13" ht="15" x14ac:dyDescent="0.25">
      <c r="B15" s="95"/>
      <c r="C15" s="95"/>
      <c r="D15" s="25"/>
      <c r="E15" s="25"/>
      <c r="F15" s="25"/>
      <c r="G15" s="25"/>
      <c r="H15" s="26"/>
      <c r="M15" s="93"/>
    </row>
    <row r="16" spans="2:13" ht="15" x14ac:dyDescent="0.25">
      <c r="B16" s="95"/>
      <c r="C16" s="95"/>
      <c r="D16" s="4"/>
      <c r="E16" s="4"/>
      <c r="F16" s="4"/>
      <c r="G16" s="4"/>
      <c r="M16" s="93"/>
    </row>
    <row r="17" spans="3:7" x14ac:dyDescent="0.2">
      <c r="C17" s="3"/>
      <c r="D17" s="4"/>
      <c r="E17" s="4"/>
      <c r="F17" s="4"/>
      <c r="G17" s="4"/>
    </row>
    <row r="18" spans="3:7" x14ac:dyDescent="0.2">
      <c r="C18" s="3"/>
      <c r="D18" s="4"/>
      <c r="E18" s="4"/>
      <c r="F18" s="4"/>
      <c r="G18" s="4"/>
    </row>
    <row r="19" spans="3:7" x14ac:dyDescent="0.2">
      <c r="C19" s="3"/>
      <c r="D19" s="4"/>
      <c r="E19" s="4"/>
      <c r="F19" s="4"/>
      <c r="G19" s="4"/>
    </row>
    <row r="20" spans="3:7" x14ac:dyDescent="0.2">
      <c r="C20" s="3"/>
      <c r="D20" s="4"/>
      <c r="E20" s="4"/>
      <c r="F20" s="4"/>
      <c r="G20" s="4"/>
    </row>
    <row r="21" spans="3:7" x14ac:dyDescent="0.2">
      <c r="C21" s="3"/>
      <c r="D21" s="4"/>
      <c r="E21" s="4"/>
      <c r="F21" s="4"/>
      <c r="G21" s="4"/>
    </row>
    <row r="22" spans="3:7" x14ac:dyDescent="0.2">
      <c r="C22" s="3"/>
      <c r="D22" s="4"/>
      <c r="E22" s="4"/>
      <c r="F22" s="4"/>
      <c r="G22" s="4"/>
    </row>
    <row r="23" spans="3:7" x14ac:dyDescent="0.2">
      <c r="C23" s="3"/>
      <c r="D23" s="4"/>
      <c r="E23" s="4"/>
      <c r="F23" s="4"/>
      <c r="G23" s="4"/>
    </row>
    <row r="24" spans="3:7" x14ac:dyDescent="0.2">
      <c r="C24" s="3"/>
      <c r="D24" s="4"/>
      <c r="E24" s="4"/>
      <c r="F24" s="4"/>
      <c r="G24" s="4"/>
    </row>
    <row r="25" spans="3:7" x14ac:dyDescent="0.2">
      <c r="C25" s="3"/>
      <c r="D25" s="4"/>
      <c r="E25" s="4"/>
      <c r="F25" s="4"/>
      <c r="G25" s="4"/>
    </row>
    <row r="26" spans="3:7" x14ac:dyDescent="0.2">
      <c r="C26" s="3"/>
      <c r="D26" s="4"/>
      <c r="E26" s="4"/>
      <c r="F26" s="4"/>
      <c r="G26" s="4"/>
    </row>
    <row r="27" spans="3:7" x14ac:dyDescent="0.2">
      <c r="C27" s="3"/>
      <c r="D27" s="4"/>
      <c r="E27" s="4"/>
      <c r="F27" s="4"/>
      <c r="G27" s="4"/>
    </row>
  </sheetData>
  <mergeCells count="8">
    <mergeCell ref="K2:M11"/>
    <mergeCell ref="B11:J11"/>
    <mergeCell ref="M12:M16"/>
    <mergeCell ref="B15:C15"/>
    <mergeCell ref="B12:D12"/>
    <mergeCell ref="B13:F13"/>
    <mergeCell ref="B14:F14"/>
    <mergeCell ref="B16:C16"/>
  </mergeCells>
  <pageMargins left="0.7" right="0.7" top="0.75" bottom="0.75" header="0.3" footer="0.3"/>
  <pageSetup paperSize="9" scale="67" fitToHeight="0" orientation="landscape" horizontalDpi="360" verticalDpi="360" r:id="rId1"/>
  <ignoredErrors>
    <ignoredError sqref="J9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62D7-29DE-4D68-8EA1-A3EB06898C18}">
  <sheetPr>
    <pageSetUpPr fitToPage="1"/>
  </sheetPr>
  <dimension ref="C1:S32"/>
  <sheetViews>
    <sheetView view="pageBreakPreview" zoomScale="85" zoomScaleNormal="85" zoomScaleSheetLayoutView="85" workbookViewId="0">
      <pane ySplit="6" topLeftCell="A7" activePane="bottomLeft" state="frozen"/>
      <selection activeCell="B1" sqref="B1"/>
      <selection pane="bottomLeft" activeCell="Q6" sqref="Q6"/>
    </sheetView>
  </sheetViews>
  <sheetFormatPr defaultRowHeight="15" x14ac:dyDescent="0.25"/>
  <cols>
    <col min="2" max="2" width="15.140625" customWidth="1"/>
    <col min="3" max="3" width="6.7109375" style="29" customWidth="1"/>
    <col min="4" max="4" width="87.7109375" customWidth="1"/>
    <col min="5" max="5" width="15.42578125" style="29" bestFit="1" customWidth="1"/>
    <col min="6" max="6" width="8.7109375" style="29" bestFit="1" customWidth="1"/>
    <col min="7" max="7" width="6.7109375" style="29" customWidth="1"/>
    <col min="8" max="10" width="16.7109375" customWidth="1"/>
    <col min="11" max="11" width="18.140625" customWidth="1"/>
    <col min="12" max="16" width="16.7109375" customWidth="1"/>
    <col min="17" max="17" width="21.42578125" bestFit="1" customWidth="1"/>
  </cols>
  <sheetData>
    <row r="1" spans="3:19" ht="17.25" customHeight="1" x14ac:dyDescent="0.25"/>
    <row r="2" spans="3:19" ht="73.5" customHeight="1" x14ac:dyDescent="0.25">
      <c r="L2" s="66" t="s">
        <v>26</v>
      </c>
      <c r="M2" s="67"/>
      <c r="N2" s="68" t="s">
        <v>34</v>
      </c>
    </row>
    <row r="3" spans="3:19" ht="31.5" customHeight="1" thickBot="1" x14ac:dyDescent="0.3">
      <c r="L3" s="61">
        <v>0.1</v>
      </c>
      <c r="N3" s="61">
        <v>0.1</v>
      </c>
    </row>
    <row r="4" spans="3:19" ht="33.75" customHeight="1" thickBot="1" x14ac:dyDescent="0.4">
      <c r="C4" s="78"/>
      <c r="D4" s="52"/>
      <c r="E4" s="76"/>
      <c r="F4" s="76"/>
      <c r="G4" s="76"/>
      <c r="H4" s="52"/>
      <c r="I4" s="52"/>
      <c r="J4" s="52"/>
      <c r="K4" s="59"/>
      <c r="L4" s="52"/>
      <c r="M4" s="52"/>
      <c r="N4" s="52"/>
      <c r="O4" s="52"/>
      <c r="P4" s="52"/>
      <c r="Q4" s="58">
        <f>'İCMAL '!J3</f>
        <v>46279</v>
      </c>
    </row>
    <row r="5" spans="3:19" ht="21.75" thickBot="1" x14ac:dyDescent="0.3">
      <c r="C5" s="100"/>
      <c r="D5" s="101"/>
      <c r="E5" s="101"/>
      <c r="F5" s="101"/>
      <c r="G5" s="101"/>
      <c r="H5" s="99" t="s">
        <v>15</v>
      </c>
      <c r="I5" s="99"/>
      <c r="J5" s="99" t="s">
        <v>16</v>
      </c>
      <c r="K5" s="99"/>
      <c r="L5" s="97" t="s">
        <v>26</v>
      </c>
      <c r="M5" s="99" t="s">
        <v>25</v>
      </c>
      <c r="N5" s="97" t="s">
        <v>34</v>
      </c>
      <c r="O5" s="99" t="s">
        <v>25</v>
      </c>
      <c r="P5" s="97" t="s">
        <v>10</v>
      </c>
      <c r="Q5" s="98"/>
    </row>
    <row r="6" spans="3:19" ht="21.75" thickBot="1" x14ac:dyDescent="0.3">
      <c r="C6" s="100" t="str">
        <f>'İCMAL '!C3</f>
        <v>İSLAMHANELERİ İÇ TESİSAT ELEKTRİK İŞLERİ</v>
      </c>
      <c r="D6" s="101"/>
      <c r="E6" s="101"/>
      <c r="F6" s="101"/>
      <c r="G6" s="101"/>
      <c r="H6" s="28" t="s">
        <v>10</v>
      </c>
      <c r="I6" s="28">
        <f>I24+I28+I32</f>
        <v>137250</v>
      </c>
      <c r="J6" s="28" t="s">
        <v>10</v>
      </c>
      <c r="K6" s="28">
        <f>K24+K28+K32</f>
        <v>133250</v>
      </c>
      <c r="L6" s="28" t="s">
        <v>10</v>
      </c>
      <c r="M6" s="28">
        <f>M24+M28+M32</f>
        <v>27050</v>
      </c>
      <c r="N6" s="28" t="s">
        <v>10</v>
      </c>
      <c r="O6" s="28">
        <f>O24+O28+O32</f>
        <v>27050</v>
      </c>
      <c r="P6" s="28" t="s">
        <v>10</v>
      </c>
      <c r="Q6" s="28">
        <f>Q24+Q28+Q32</f>
        <v>324600</v>
      </c>
    </row>
    <row r="7" spans="3:19" s="29" customFormat="1" ht="15.75" thickBot="1" x14ac:dyDescent="0.3">
      <c r="C7" s="37" t="s">
        <v>20</v>
      </c>
      <c r="D7" s="86" t="s">
        <v>31</v>
      </c>
      <c r="E7" s="38" t="s">
        <v>0</v>
      </c>
      <c r="F7" s="38" t="s">
        <v>29</v>
      </c>
      <c r="G7" s="38" t="s">
        <v>1</v>
      </c>
      <c r="H7" s="38" t="s">
        <v>17</v>
      </c>
      <c r="I7" s="38" t="s">
        <v>18</v>
      </c>
      <c r="J7" s="38" t="s">
        <v>17</v>
      </c>
      <c r="K7" s="38" t="s">
        <v>18</v>
      </c>
      <c r="L7" s="38" t="s">
        <v>17</v>
      </c>
      <c r="M7" s="38" t="s">
        <v>18</v>
      </c>
      <c r="N7" s="38" t="s">
        <v>17</v>
      </c>
      <c r="O7" s="38" t="s">
        <v>18</v>
      </c>
      <c r="P7" s="38" t="s">
        <v>17</v>
      </c>
      <c r="Q7" s="48" t="s">
        <v>19</v>
      </c>
    </row>
    <row r="8" spans="3:19" x14ac:dyDescent="0.25">
      <c r="C8" s="56">
        <v>1</v>
      </c>
      <c r="D8" s="57" t="s">
        <v>32</v>
      </c>
      <c r="E8" s="75" t="s">
        <v>30</v>
      </c>
      <c r="F8" s="82">
        <v>1</v>
      </c>
      <c r="G8" s="84" t="s">
        <v>22</v>
      </c>
      <c r="H8" s="33">
        <v>1500</v>
      </c>
      <c r="I8" s="33">
        <f t="shared" ref="I8" si="0">F8*H8</f>
        <v>1500</v>
      </c>
      <c r="J8" s="33">
        <v>1500</v>
      </c>
      <c r="K8" s="33">
        <f>F8*J8</f>
        <v>1500</v>
      </c>
      <c r="L8" s="33">
        <f>(H8+J8)*$L$3</f>
        <v>300</v>
      </c>
      <c r="M8" s="34">
        <f>+L8*F8</f>
        <v>300</v>
      </c>
      <c r="N8" s="33">
        <f t="shared" ref="N8:N23" si="1">(J8+H8)*$N$3</f>
        <v>300</v>
      </c>
      <c r="O8" s="34">
        <f>+N8*F8</f>
        <v>300</v>
      </c>
      <c r="P8" s="31">
        <f>H8+J8+L8+N8</f>
        <v>3600</v>
      </c>
      <c r="Q8" s="32">
        <f>F8*P8</f>
        <v>3600</v>
      </c>
      <c r="R8" s="30"/>
      <c r="S8" s="30"/>
    </row>
    <row r="9" spans="3:19" x14ac:dyDescent="0.25">
      <c r="C9" s="56">
        <f>C8+1</f>
        <v>2</v>
      </c>
      <c r="D9" s="57" t="s">
        <v>59</v>
      </c>
      <c r="E9" s="75" t="s">
        <v>30</v>
      </c>
      <c r="F9" s="82">
        <v>1</v>
      </c>
      <c r="G9" s="85" t="s">
        <v>22</v>
      </c>
      <c r="H9" s="33">
        <v>1500</v>
      </c>
      <c r="I9" s="33">
        <f>F9*H9</f>
        <v>1500</v>
      </c>
      <c r="J9" s="33">
        <v>1500</v>
      </c>
      <c r="K9" s="33">
        <f>F9*J9</f>
        <v>1500</v>
      </c>
      <c r="L9" s="33">
        <f>(H9+J9)*$L$3</f>
        <v>300</v>
      </c>
      <c r="M9" s="34">
        <f>+L9*F9</f>
        <v>300</v>
      </c>
      <c r="N9" s="33">
        <f t="shared" si="1"/>
        <v>300</v>
      </c>
      <c r="O9" s="34">
        <f>+N9*F9</f>
        <v>300</v>
      </c>
      <c r="P9" s="31">
        <f>H9+J9+L9+N9</f>
        <v>3600</v>
      </c>
      <c r="Q9" s="32">
        <f>F9*P9</f>
        <v>3600</v>
      </c>
      <c r="R9" s="30"/>
      <c r="S9" s="30"/>
    </row>
    <row r="10" spans="3:19" x14ac:dyDescent="0.25">
      <c r="C10" s="56">
        <f>C9+1</f>
        <v>3</v>
      </c>
      <c r="D10" s="57" t="s">
        <v>61</v>
      </c>
      <c r="E10" s="75" t="s">
        <v>30</v>
      </c>
      <c r="F10" s="82">
        <v>1</v>
      </c>
      <c r="G10" s="85" t="s">
        <v>22</v>
      </c>
      <c r="H10" s="33">
        <v>1500</v>
      </c>
      <c r="I10" s="33">
        <f t="shared" ref="I10:I23" si="2">F10*H10</f>
        <v>1500</v>
      </c>
      <c r="J10" s="33">
        <v>1500</v>
      </c>
      <c r="K10" s="33">
        <f t="shared" ref="K10:K23" si="3">F10*J10</f>
        <v>1500</v>
      </c>
      <c r="L10" s="33">
        <f t="shared" ref="L10:L23" si="4">(H10+J10)*$L$3</f>
        <v>300</v>
      </c>
      <c r="M10" s="34">
        <f t="shared" ref="M10:M23" si="5">+L10*F10</f>
        <v>300</v>
      </c>
      <c r="N10" s="33">
        <f t="shared" si="1"/>
        <v>300</v>
      </c>
      <c r="O10" s="34">
        <f t="shared" ref="O10:O23" si="6">+N10*F10</f>
        <v>300</v>
      </c>
      <c r="P10" s="31">
        <f t="shared" ref="P10:P23" si="7">H10+J10+L10+N10</f>
        <v>3600</v>
      </c>
      <c r="Q10" s="32">
        <f t="shared" ref="Q10:Q23" si="8">F10*P10</f>
        <v>3600</v>
      </c>
      <c r="R10" s="30"/>
      <c r="S10" s="30"/>
    </row>
    <row r="11" spans="3:19" x14ac:dyDescent="0.25">
      <c r="C11" s="56">
        <f>C10+1</f>
        <v>4</v>
      </c>
      <c r="D11" s="57" t="s">
        <v>39</v>
      </c>
      <c r="E11" s="75" t="s">
        <v>30</v>
      </c>
      <c r="F11" s="82">
        <v>1</v>
      </c>
      <c r="G11" s="85" t="s">
        <v>22</v>
      </c>
      <c r="H11" s="33">
        <v>1500</v>
      </c>
      <c r="I11" s="33">
        <f>F11*H11</f>
        <v>1500</v>
      </c>
      <c r="J11" s="33">
        <v>1500</v>
      </c>
      <c r="K11" s="33">
        <f>F11*J11</f>
        <v>1500</v>
      </c>
      <c r="L11" s="33">
        <f>(H11+J11)*$L$3</f>
        <v>300</v>
      </c>
      <c r="M11" s="34">
        <f>+L11*F11</f>
        <v>300</v>
      </c>
      <c r="N11" s="33">
        <f>(J11+H11)*$N$3</f>
        <v>300</v>
      </c>
      <c r="O11" s="34">
        <f>+N11*F11</f>
        <v>300</v>
      </c>
      <c r="P11" s="31">
        <f>H11+J11+L11+N11</f>
        <v>3600</v>
      </c>
      <c r="Q11" s="32">
        <f>F11*P11</f>
        <v>3600</v>
      </c>
      <c r="R11" s="30"/>
      <c r="S11" s="30"/>
    </row>
    <row r="12" spans="3:19" x14ac:dyDescent="0.25">
      <c r="C12" s="56">
        <f>C11+1</f>
        <v>5</v>
      </c>
      <c r="D12" s="57" t="s">
        <v>40</v>
      </c>
      <c r="E12" s="75" t="s">
        <v>30</v>
      </c>
      <c r="F12" s="82">
        <v>2</v>
      </c>
      <c r="G12" s="85" t="s">
        <v>22</v>
      </c>
      <c r="H12" s="33">
        <v>1500</v>
      </c>
      <c r="I12" s="33">
        <f>F12*H12</f>
        <v>3000</v>
      </c>
      <c r="J12" s="33">
        <v>1500</v>
      </c>
      <c r="K12" s="33">
        <f>F12*J12</f>
        <v>3000</v>
      </c>
      <c r="L12" s="33">
        <f>(H12+J12)*$L$3</f>
        <v>300</v>
      </c>
      <c r="M12" s="34">
        <f>+L12*F12</f>
        <v>600</v>
      </c>
      <c r="N12" s="33">
        <f>(J12+H12)*$N$3</f>
        <v>300</v>
      </c>
      <c r="O12" s="34">
        <f>+N12*F12</f>
        <v>600</v>
      </c>
      <c r="P12" s="31">
        <f>H12+J12+L12+N12</f>
        <v>3600</v>
      </c>
      <c r="Q12" s="32">
        <f>F12*P12</f>
        <v>7200</v>
      </c>
      <c r="R12" s="30"/>
      <c r="S12" s="30"/>
    </row>
    <row r="13" spans="3:19" x14ac:dyDescent="0.25">
      <c r="C13" s="56">
        <f>C12+1</f>
        <v>6</v>
      </c>
      <c r="D13" s="57" t="s">
        <v>41</v>
      </c>
      <c r="E13" s="75" t="s">
        <v>30</v>
      </c>
      <c r="F13" s="82">
        <v>1</v>
      </c>
      <c r="G13" s="85" t="s">
        <v>22</v>
      </c>
      <c r="H13" s="33">
        <v>1500</v>
      </c>
      <c r="I13" s="33">
        <f>F13*H13</f>
        <v>1500</v>
      </c>
      <c r="J13" s="33">
        <v>1500</v>
      </c>
      <c r="K13" s="33">
        <f>F13*J13</f>
        <v>1500</v>
      </c>
      <c r="L13" s="33">
        <f>(H13+J13)*$L$3</f>
        <v>300</v>
      </c>
      <c r="M13" s="34">
        <f>+L13*F13</f>
        <v>300</v>
      </c>
      <c r="N13" s="33">
        <f>(J13+H13)*$N$3</f>
        <v>300</v>
      </c>
      <c r="O13" s="34">
        <f>+N13*F13</f>
        <v>300</v>
      </c>
      <c r="P13" s="31">
        <f>H13+J13+L13+N13</f>
        <v>3600</v>
      </c>
      <c r="Q13" s="32">
        <f>F13*P13</f>
        <v>3600</v>
      </c>
      <c r="R13" s="30"/>
      <c r="S13" s="30"/>
    </row>
    <row r="14" spans="3:19" x14ac:dyDescent="0.25">
      <c r="C14" s="56">
        <f>C13+1</f>
        <v>7</v>
      </c>
      <c r="D14" s="57" t="s">
        <v>33</v>
      </c>
      <c r="E14" s="75" t="s">
        <v>30</v>
      </c>
      <c r="F14" s="82">
        <v>31</v>
      </c>
      <c r="G14" s="85" t="s">
        <v>22</v>
      </c>
      <c r="H14" s="33">
        <v>1500</v>
      </c>
      <c r="I14" s="33">
        <f t="shared" si="2"/>
        <v>46500</v>
      </c>
      <c r="J14" s="33">
        <v>1500</v>
      </c>
      <c r="K14" s="33">
        <f t="shared" si="3"/>
        <v>46500</v>
      </c>
      <c r="L14" s="33">
        <f t="shared" si="4"/>
        <v>300</v>
      </c>
      <c r="M14" s="34">
        <f t="shared" si="5"/>
        <v>9300</v>
      </c>
      <c r="N14" s="33">
        <f t="shared" si="1"/>
        <v>300</v>
      </c>
      <c r="O14" s="34">
        <f t="shared" si="6"/>
        <v>9300</v>
      </c>
      <c r="P14" s="31">
        <f t="shared" si="7"/>
        <v>3600</v>
      </c>
      <c r="Q14" s="32">
        <f t="shared" si="8"/>
        <v>111600</v>
      </c>
      <c r="R14" s="30"/>
      <c r="S14" s="30"/>
    </row>
    <row r="15" spans="3:19" x14ac:dyDescent="0.25">
      <c r="C15" s="56">
        <f t="shared" ref="C15" si="9">C14+1</f>
        <v>8</v>
      </c>
      <c r="D15" s="57" t="s">
        <v>43</v>
      </c>
      <c r="E15" s="75" t="s">
        <v>30</v>
      </c>
      <c r="F15" s="82">
        <v>11</v>
      </c>
      <c r="G15" s="85" t="s">
        <v>22</v>
      </c>
      <c r="H15" s="33">
        <v>1500</v>
      </c>
      <c r="I15" s="33">
        <f>F15*H15</f>
        <v>16500</v>
      </c>
      <c r="J15" s="33">
        <v>1500</v>
      </c>
      <c r="K15" s="33">
        <f t="shared" si="3"/>
        <v>16500</v>
      </c>
      <c r="L15" s="33">
        <f t="shared" si="4"/>
        <v>300</v>
      </c>
      <c r="M15" s="34">
        <f t="shared" si="5"/>
        <v>3300</v>
      </c>
      <c r="N15" s="33">
        <f t="shared" si="1"/>
        <v>300</v>
      </c>
      <c r="O15" s="34">
        <f t="shared" si="6"/>
        <v>3300</v>
      </c>
      <c r="P15" s="31">
        <f t="shared" si="7"/>
        <v>3600</v>
      </c>
      <c r="Q15" s="32">
        <f t="shared" si="8"/>
        <v>39600</v>
      </c>
      <c r="R15" s="30"/>
      <c r="S15" s="30"/>
    </row>
    <row r="16" spans="3:19" x14ac:dyDescent="0.25">
      <c r="C16" s="56">
        <f t="shared" ref="C16:C22" si="10">C15+1</f>
        <v>9</v>
      </c>
      <c r="D16" s="57" t="s">
        <v>62</v>
      </c>
      <c r="E16" s="75" t="s">
        <v>30</v>
      </c>
      <c r="F16" s="82">
        <v>5</v>
      </c>
      <c r="G16" s="85" t="s">
        <v>22</v>
      </c>
      <c r="H16" s="33">
        <v>950</v>
      </c>
      <c r="I16" s="33">
        <f>F16*H16</f>
        <v>4750</v>
      </c>
      <c r="J16" s="33">
        <v>800</v>
      </c>
      <c r="K16" s="33">
        <f t="shared" ref="K16" si="11">F16*J16</f>
        <v>4000</v>
      </c>
      <c r="L16" s="33">
        <f t="shared" ref="L16" si="12">(H16+J16)*$L$3</f>
        <v>175</v>
      </c>
      <c r="M16" s="34">
        <f t="shared" ref="M16" si="13">+L16*F16</f>
        <v>875</v>
      </c>
      <c r="N16" s="33">
        <f t="shared" ref="N16" si="14">(J16+H16)*$N$3</f>
        <v>175</v>
      </c>
      <c r="O16" s="34">
        <f t="shared" ref="O16" si="15">+N16*F16</f>
        <v>875</v>
      </c>
      <c r="P16" s="31">
        <f t="shared" ref="P16" si="16">H16+J16+L16+N16</f>
        <v>2100</v>
      </c>
      <c r="Q16" s="32">
        <f t="shared" ref="Q16" si="17">F16*P16</f>
        <v>10500</v>
      </c>
      <c r="R16" s="30"/>
      <c r="S16" s="30"/>
    </row>
    <row r="17" spans="3:19" x14ac:dyDescent="0.25">
      <c r="C17" s="56">
        <f t="shared" si="10"/>
        <v>10</v>
      </c>
      <c r="D17" s="57" t="s">
        <v>46</v>
      </c>
      <c r="E17" s="75" t="s">
        <v>30</v>
      </c>
      <c r="F17" s="82">
        <v>1</v>
      </c>
      <c r="G17" s="85" t="s">
        <v>22</v>
      </c>
      <c r="H17" s="33">
        <v>1250</v>
      </c>
      <c r="I17" s="33">
        <f>F17*H17</f>
        <v>1250</v>
      </c>
      <c r="J17" s="33">
        <v>1500</v>
      </c>
      <c r="K17" s="33">
        <f t="shared" ref="K17" si="18">F17*J17</f>
        <v>1500</v>
      </c>
      <c r="L17" s="33">
        <f t="shared" ref="L17" si="19">(H17+J17)*$L$3</f>
        <v>275</v>
      </c>
      <c r="M17" s="34">
        <f t="shared" ref="M17" si="20">+L17*F17</f>
        <v>275</v>
      </c>
      <c r="N17" s="33">
        <f t="shared" ref="N17" si="21">(J17+H17)*$N$3</f>
        <v>275</v>
      </c>
      <c r="O17" s="34">
        <f t="shared" ref="O17" si="22">+N17*F17</f>
        <v>275</v>
      </c>
      <c r="P17" s="31">
        <f t="shared" ref="P17" si="23">H17+J17+L17+N17</f>
        <v>3300</v>
      </c>
      <c r="Q17" s="32">
        <f t="shared" ref="Q17" si="24">F17*P17</f>
        <v>3300</v>
      </c>
      <c r="R17" s="30"/>
      <c r="S17" s="30"/>
    </row>
    <row r="18" spans="3:19" x14ac:dyDescent="0.25">
      <c r="C18" s="56">
        <f t="shared" si="10"/>
        <v>11</v>
      </c>
      <c r="D18" s="57" t="s">
        <v>36</v>
      </c>
      <c r="E18" s="75" t="s">
        <v>30</v>
      </c>
      <c r="F18" s="82">
        <v>6</v>
      </c>
      <c r="G18" s="85" t="s">
        <v>22</v>
      </c>
      <c r="H18" s="33">
        <v>1250</v>
      </c>
      <c r="I18" s="33">
        <f t="shared" si="2"/>
        <v>7500</v>
      </c>
      <c r="J18" s="33">
        <v>1500</v>
      </c>
      <c r="K18" s="33">
        <f t="shared" si="3"/>
        <v>9000</v>
      </c>
      <c r="L18" s="33">
        <f t="shared" si="4"/>
        <v>275</v>
      </c>
      <c r="M18" s="34">
        <f t="shared" si="5"/>
        <v>1650</v>
      </c>
      <c r="N18" s="33">
        <f t="shared" si="1"/>
        <v>275</v>
      </c>
      <c r="O18" s="34">
        <f t="shared" si="6"/>
        <v>1650</v>
      </c>
      <c r="P18" s="31">
        <f t="shared" si="7"/>
        <v>3300</v>
      </c>
      <c r="Q18" s="32">
        <f t="shared" si="8"/>
        <v>19800</v>
      </c>
      <c r="R18" s="30"/>
      <c r="S18" s="30"/>
    </row>
    <row r="19" spans="3:19" x14ac:dyDescent="0.25">
      <c r="C19" s="56">
        <f t="shared" si="10"/>
        <v>12</v>
      </c>
      <c r="D19" s="57" t="s">
        <v>37</v>
      </c>
      <c r="E19" s="75" t="s">
        <v>30</v>
      </c>
      <c r="F19" s="82">
        <v>12</v>
      </c>
      <c r="G19" s="85" t="s">
        <v>22</v>
      </c>
      <c r="H19" s="33">
        <v>1250</v>
      </c>
      <c r="I19" s="33">
        <f t="shared" ref="I19" si="25">F19*H19</f>
        <v>15000</v>
      </c>
      <c r="J19" s="33">
        <v>1250</v>
      </c>
      <c r="K19" s="33">
        <f t="shared" ref="K19" si="26">F19*J19</f>
        <v>15000</v>
      </c>
      <c r="L19" s="33">
        <f t="shared" ref="L19" si="27">(H19+J19)*$L$3</f>
        <v>250</v>
      </c>
      <c r="M19" s="34">
        <f t="shared" ref="M19" si="28">+L19*F19</f>
        <v>3000</v>
      </c>
      <c r="N19" s="33">
        <f t="shared" ref="N19" si="29">(J19+H19)*$N$3</f>
        <v>250</v>
      </c>
      <c r="O19" s="34">
        <f t="shared" ref="O19" si="30">+N19*F19</f>
        <v>3000</v>
      </c>
      <c r="P19" s="31">
        <f t="shared" ref="P19" si="31">H19+J19+L19+N19</f>
        <v>3000</v>
      </c>
      <c r="Q19" s="32">
        <f t="shared" ref="Q19" si="32">F19*P19</f>
        <v>36000</v>
      </c>
      <c r="R19" s="30"/>
      <c r="S19" s="30"/>
    </row>
    <row r="20" spans="3:19" x14ac:dyDescent="0.25">
      <c r="C20" s="56">
        <f t="shared" si="10"/>
        <v>13</v>
      </c>
      <c r="D20" s="57" t="s">
        <v>60</v>
      </c>
      <c r="E20" s="75" t="s">
        <v>30</v>
      </c>
      <c r="F20" s="82">
        <v>2</v>
      </c>
      <c r="G20" s="85" t="s">
        <v>22</v>
      </c>
      <c r="H20" s="33">
        <v>1250</v>
      </c>
      <c r="I20" s="33">
        <f t="shared" ref="I20" si="33">F20*H20</f>
        <v>2500</v>
      </c>
      <c r="J20" s="33">
        <v>1250</v>
      </c>
      <c r="K20" s="33">
        <f t="shared" ref="K20" si="34">F20*J20</f>
        <v>2500</v>
      </c>
      <c r="L20" s="33">
        <f t="shared" ref="L20" si="35">(H20+J20)*$L$3</f>
        <v>250</v>
      </c>
      <c r="M20" s="34">
        <f t="shared" ref="M20" si="36">+L20*F20</f>
        <v>500</v>
      </c>
      <c r="N20" s="33">
        <f t="shared" ref="N20" si="37">(J20+H20)*$N$3</f>
        <v>250</v>
      </c>
      <c r="O20" s="34">
        <f t="shared" ref="O20" si="38">+N20*F20</f>
        <v>500</v>
      </c>
      <c r="P20" s="31">
        <f t="shared" ref="P20" si="39">H20+J20+L20+N20</f>
        <v>3000</v>
      </c>
      <c r="Q20" s="32">
        <f t="shared" ref="Q20" si="40">F20*P20</f>
        <v>6000</v>
      </c>
      <c r="R20" s="30"/>
      <c r="S20" s="30"/>
    </row>
    <row r="21" spans="3:19" x14ac:dyDescent="0.25">
      <c r="C21" s="56">
        <f t="shared" si="10"/>
        <v>14</v>
      </c>
      <c r="D21" s="57" t="s">
        <v>42</v>
      </c>
      <c r="E21" s="75" t="s">
        <v>30</v>
      </c>
      <c r="F21" s="82">
        <v>3</v>
      </c>
      <c r="G21" s="85" t="s">
        <v>22</v>
      </c>
      <c r="H21" s="33">
        <v>1500</v>
      </c>
      <c r="I21" s="33">
        <f t="shared" si="2"/>
        <v>4500</v>
      </c>
      <c r="J21" s="33">
        <v>1500</v>
      </c>
      <c r="K21" s="33">
        <f t="shared" si="3"/>
        <v>4500</v>
      </c>
      <c r="L21" s="33">
        <f t="shared" si="4"/>
        <v>300</v>
      </c>
      <c r="M21" s="34">
        <f t="shared" si="5"/>
        <v>900</v>
      </c>
      <c r="N21" s="33">
        <f t="shared" si="1"/>
        <v>300</v>
      </c>
      <c r="O21" s="34">
        <f t="shared" si="6"/>
        <v>900</v>
      </c>
      <c r="P21" s="31">
        <f t="shared" si="7"/>
        <v>3600</v>
      </c>
      <c r="Q21" s="32">
        <f t="shared" si="8"/>
        <v>10800</v>
      </c>
      <c r="R21" s="30"/>
      <c r="S21" s="30"/>
    </row>
    <row r="22" spans="3:19" x14ac:dyDescent="0.25">
      <c r="C22" s="56">
        <f t="shared" si="10"/>
        <v>15</v>
      </c>
      <c r="D22" s="57" t="s">
        <v>63</v>
      </c>
      <c r="E22" s="75" t="s">
        <v>30</v>
      </c>
      <c r="F22" s="82">
        <v>1</v>
      </c>
      <c r="G22" s="85" t="s">
        <v>22</v>
      </c>
      <c r="H22" s="33">
        <v>3500</v>
      </c>
      <c r="I22" s="33">
        <f t="shared" ref="I22" si="41">F22*H22</f>
        <v>3500</v>
      </c>
      <c r="J22" s="33">
        <v>3000</v>
      </c>
      <c r="K22" s="33">
        <f t="shared" ref="K22" si="42">F22*J22</f>
        <v>3000</v>
      </c>
      <c r="L22" s="33">
        <f t="shared" ref="L22" si="43">(H22+J22)*$L$3</f>
        <v>650</v>
      </c>
      <c r="M22" s="34">
        <f t="shared" ref="M22" si="44">+L22*F22</f>
        <v>650</v>
      </c>
      <c r="N22" s="33">
        <f t="shared" ref="N22" si="45">(J22+H22)*$N$3</f>
        <v>650</v>
      </c>
      <c r="O22" s="34">
        <f t="shared" ref="O22" si="46">+N22*F22</f>
        <v>650</v>
      </c>
      <c r="P22" s="31">
        <f t="shared" ref="P22" si="47">H22+J22+L22+N22</f>
        <v>7800</v>
      </c>
      <c r="Q22" s="32">
        <f t="shared" ref="Q22" si="48">F22*P22</f>
        <v>7800</v>
      </c>
      <c r="R22" s="30"/>
      <c r="S22" s="30"/>
    </row>
    <row r="23" spans="3:19" ht="15.75" thickBot="1" x14ac:dyDescent="0.3">
      <c r="C23" s="56">
        <f>C21+1</f>
        <v>15</v>
      </c>
      <c r="D23" s="57" t="s">
        <v>38</v>
      </c>
      <c r="E23" s="75" t="s">
        <v>30</v>
      </c>
      <c r="F23" s="82">
        <v>1</v>
      </c>
      <c r="G23" s="85" t="s">
        <v>22</v>
      </c>
      <c r="H23" s="33">
        <v>1250</v>
      </c>
      <c r="I23" s="33">
        <f t="shared" si="2"/>
        <v>1250</v>
      </c>
      <c r="J23" s="33">
        <v>1250</v>
      </c>
      <c r="K23" s="33">
        <f t="shared" si="3"/>
        <v>1250</v>
      </c>
      <c r="L23" s="33">
        <f t="shared" si="4"/>
        <v>250</v>
      </c>
      <c r="M23" s="34">
        <f t="shared" si="5"/>
        <v>250</v>
      </c>
      <c r="N23" s="33">
        <f t="shared" si="1"/>
        <v>250</v>
      </c>
      <c r="O23" s="34">
        <f t="shared" si="6"/>
        <v>250</v>
      </c>
      <c r="P23" s="31">
        <f t="shared" si="7"/>
        <v>3000</v>
      </c>
      <c r="Q23" s="32">
        <f t="shared" si="8"/>
        <v>3000</v>
      </c>
      <c r="R23" s="30"/>
      <c r="S23" s="30"/>
    </row>
    <row r="24" spans="3:19" ht="15" customHeight="1" thickBot="1" x14ac:dyDescent="0.3">
      <c r="C24" s="79"/>
      <c r="D24" s="42"/>
      <c r="E24" s="77"/>
      <c r="F24" s="77"/>
      <c r="G24" s="83"/>
      <c r="H24" s="43" t="s">
        <v>19</v>
      </c>
      <c r="I24" s="44">
        <f>SUM(I8:I23)</f>
        <v>113750</v>
      </c>
      <c r="J24" s="43" t="s">
        <v>19</v>
      </c>
      <c r="K24" s="45">
        <f>SUM(K8:K23)</f>
        <v>114250</v>
      </c>
      <c r="L24" s="43" t="s">
        <v>19</v>
      </c>
      <c r="M24" s="47">
        <f>SUM(M8:M23)</f>
        <v>22800</v>
      </c>
      <c r="N24" s="43" t="s">
        <v>19</v>
      </c>
      <c r="O24" s="47">
        <f>SUM(O8:O23)</f>
        <v>22800</v>
      </c>
      <c r="P24" s="46" t="s">
        <v>19</v>
      </c>
      <c r="Q24" s="62">
        <f>SUM(Q8:Q23)</f>
        <v>273600</v>
      </c>
      <c r="R24" s="30"/>
      <c r="S24" s="30"/>
    </row>
    <row r="25" spans="3:19" s="36" customFormat="1" ht="15.75" thickBot="1" x14ac:dyDescent="0.3">
      <c r="C25" s="40" t="s">
        <v>20</v>
      </c>
      <c r="D25" s="86" t="s">
        <v>13</v>
      </c>
      <c r="E25" s="51" t="s">
        <v>0</v>
      </c>
      <c r="F25" s="38" t="s">
        <v>21</v>
      </c>
      <c r="G25" s="38" t="s">
        <v>1</v>
      </c>
      <c r="H25" s="38" t="s">
        <v>17</v>
      </c>
      <c r="I25" s="38" t="s">
        <v>18</v>
      </c>
      <c r="J25" s="38" t="s">
        <v>17</v>
      </c>
      <c r="K25" s="38" t="s">
        <v>18</v>
      </c>
      <c r="L25" s="38" t="s">
        <v>17</v>
      </c>
      <c r="M25" s="38" t="s">
        <v>18</v>
      </c>
      <c r="N25" s="38" t="s">
        <v>17</v>
      </c>
      <c r="O25" s="38" t="s">
        <v>18</v>
      </c>
      <c r="P25" s="38" t="s">
        <v>17</v>
      </c>
      <c r="Q25" s="48" t="s">
        <v>19</v>
      </c>
      <c r="R25" s="35"/>
      <c r="S25" s="35"/>
    </row>
    <row r="26" spans="3:19" x14ac:dyDescent="0.25">
      <c r="C26" s="39">
        <f>C23+1</f>
        <v>16</v>
      </c>
      <c r="D26" s="57" t="s">
        <v>44</v>
      </c>
      <c r="E26" s="75" t="s">
        <v>30</v>
      </c>
      <c r="F26" s="82">
        <v>4</v>
      </c>
      <c r="G26" s="85" t="s">
        <v>22</v>
      </c>
      <c r="H26" s="33">
        <v>1750</v>
      </c>
      <c r="I26" s="33">
        <f t="shared" ref="I26" si="49">F26*H26</f>
        <v>7000</v>
      </c>
      <c r="J26" s="33">
        <v>1500</v>
      </c>
      <c r="K26" s="33">
        <f t="shared" ref="K26" si="50">F26*J26</f>
        <v>6000</v>
      </c>
      <c r="L26" s="33">
        <f t="shared" ref="L26" si="51">(H26+J26)*$L$3</f>
        <v>325</v>
      </c>
      <c r="M26" s="34">
        <f t="shared" ref="M26" si="52">+L26*F26</f>
        <v>1300</v>
      </c>
      <c r="N26" s="33">
        <f t="shared" ref="N26" si="53">(J26+H26)*$N$3</f>
        <v>325</v>
      </c>
      <c r="O26" s="34">
        <f t="shared" ref="O26" si="54">+N26*F26</f>
        <v>1300</v>
      </c>
      <c r="P26" s="31">
        <f t="shared" ref="P26" si="55">H26+J26+L26+N26</f>
        <v>3900</v>
      </c>
      <c r="Q26" s="32">
        <f t="shared" ref="Q26" si="56">F26*P26</f>
        <v>15600</v>
      </c>
      <c r="R26" s="30"/>
      <c r="S26" s="30"/>
    </row>
    <row r="27" spans="3:19" ht="15.75" thickBot="1" x14ac:dyDescent="0.3">
      <c r="C27" s="39">
        <f t="shared" ref="C27" si="57">C26+1</f>
        <v>17</v>
      </c>
      <c r="D27" s="57" t="s">
        <v>45</v>
      </c>
      <c r="E27" s="75" t="s">
        <v>30</v>
      </c>
      <c r="F27" s="82">
        <v>3</v>
      </c>
      <c r="G27" s="85" t="s">
        <v>22</v>
      </c>
      <c r="H27" s="33">
        <v>1750</v>
      </c>
      <c r="I27" s="33">
        <f t="shared" ref="I27" si="58">F27*H27</f>
        <v>5250</v>
      </c>
      <c r="J27" s="33">
        <v>1500</v>
      </c>
      <c r="K27" s="33">
        <f t="shared" ref="K27" si="59">F27*J27</f>
        <v>4500</v>
      </c>
      <c r="L27" s="33">
        <f t="shared" ref="L27" si="60">(H27+J27)*$L$3</f>
        <v>325</v>
      </c>
      <c r="M27" s="34">
        <f t="shared" ref="M27" si="61">+L27*F27</f>
        <v>975</v>
      </c>
      <c r="N27" s="33">
        <f t="shared" ref="N27" si="62">(J27+H27)*$N$3</f>
        <v>325</v>
      </c>
      <c r="O27" s="34">
        <f t="shared" ref="O27" si="63">+N27*F27</f>
        <v>975</v>
      </c>
      <c r="P27" s="31">
        <f t="shared" ref="P27" si="64">H27+J27+L27+N27</f>
        <v>3900</v>
      </c>
      <c r="Q27" s="32">
        <f t="shared" ref="Q27" si="65">F27*P27</f>
        <v>11700</v>
      </c>
      <c r="R27" s="30"/>
      <c r="S27" s="30"/>
    </row>
    <row r="28" spans="3:19" ht="15" customHeight="1" thickBot="1" x14ac:dyDescent="0.3">
      <c r="C28" s="79"/>
      <c r="D28" s="42"/>
      <c r="E28" s="77"/>
      <c r="F28" s="77"/>
      <c r="G28" s="83"/>
      <c r="H28" s="43" t="s">
        <v>19</v>
      </c>
      <c r="I28" s="44">
        <f>SUM(I26:I27)</f>
        <v>12250</v>
      </c>
      <c r="J28" s="43" t="s">
        <v>19</v>
      </c>
      <c r="K28" s="45">
        <f>SUM(K26:K27)</f>
        <v>10500</v>
      </c>
      <c r="L28" s="43" t="s">
        <v>19</v>
      </c>
      <c r="M28" s="47">
        <f>SUM(M26:M27)</f>
        <v>2275</v>
      </c>
      <c r="N28" s="43" t="s">
        <v>19</v>
      </c>
      <c r="O28" s="47">
        <f>SUM(O26:O27)</f>
        <v>2275</v>
      </c>
      <c r="P28" s="46" t="s">
        <v>19</v>
      </c>
      <c r="Q28" s="47">
        <f>SUM(Q26:Q27)</f>
        <v>27300</v>
      </c>
      <c r="R28" s="30"/>
      <c r="S28" s="30"/>
    </row>
    <row r="29" spans="3:19" ht="15.75" thickBot="1" x14ac:dyDescent="0.3">
      <c r="C29" s="40" t="s">
        <v>20</v>
      </c>
      <c r="D29" s="86" t="s">
        <v>47</v>
      </c>
      <c r="E29" s="38" t="s">
        <v>0</v>
      </c>
      <c r="F29" s="38" t="s">
        <v>21</v>
      </c>
      <c r="G29" s="38" t="s">
        <v>1</v>
      </c>
      <c r="H29" s="41" t="s">
        <v>17</v>
      </c>
      <c r="I29" s="41" t="s">
        <v>18</v>
      </c>
      <c r="J29" s="41" t="s">
        <v>17</v>
      </c>
      <c r="K29" s="41" t="s">
        <v>18</v>
      </c>
      <c r="L29" s="38" t="s">
        <v>17</v>
      </c>
      <c r="M29" s="38" t="s">
        <v>18</v>
      </c>
      <c r="N29" s="38" t="s">
        <v>17</v>
      </c>
      <c r="O29" s="38" t="s">
        <v>18</v>
      </c>
      <c r="P29" s="51" t="s">
        <v>17</v>
      </c>
      <c r="Q29" s="53" t="s">
        <v>19</v>
      </c>
      <c r="R29" s="30"/>
      <c r="S29" s="30"/>
    </row>
    <row r="30" spans="3:19" x14ac:dyDescent="0.25">
      <c r="C30" s="39">
        <f>C27+1</f>
        <v>18</v>
      </c>
      <c r="D30" s="87" t="s">
        <v>64</v>
      </c>
      <c r="E30" s="69" t="s">
        <v>66</v>
      </c>
      <c r="F30" s="81">
        <v>1</v>
      </c>
      <c r="G30" s="70" t="s">
        <v>22</v>
      </c>
      <c r="H30" s="63">
        <v>10000</v>
      </c>
      <c r="I30" s="63">
        <f t="shared" ref="I30:I31" si="66">F30*H30</f>
        <v>10000</v>
      </c>
      <c r="J30" s="63">
        <v>7500</v>
      </c>
      <c r="K30" s="63">
        <f t="shared" ref="K30:K31" si="67">F30*J30</f>
        <v>7500</v>
      </c>
      <c r="L30" s="63">
        <f>(H30+J30)*$L$3</f>
        <v>1750</v>
      </c>
      <c r="M30" s="63">
        <f>+L30*F30</f>
        <v>1750</v>
      </c>
      <c r="N30" s="63">
        <f t="shared" ref="N30:N31" si="68">(J30+H30)*$N$3</f>
        <v>1750</v>
      </c>
      <c r="O30" s="63">
        <f>+N30*F30</f>
        <v>1750</v>
      </c>
      <c r="P30" s="64">
        <f t="shared" ref="P30:P31" si="69">H30+J30+L30+N30</f>
        <v>21000</v>
      </c>
      <c r="Q30" s="65">
        <f t="shared" ref="Q30:Q31" si="70">F30*P30</f>
        <v>21000</v>
      </c>
    </row>
    <row r="31" spans="3:19" ht="15.75" thickBot="1" x14ac:dyDescent="0.3">
      <c r="C31" s="39">
        <f>C30+1</f>
        <v>19</v>
      </c>
      <c r="D31" s="87" t="s">
        <v>65</v>
      </c>
      <c r="E31" s="69" t="s">
        <v>66</v>
      </c>
      <c r="F31" s="81">
        <v>1</v>
      </c>
      <c r="G31" s="70" t="s">
        <v>22</v>
      </c>
      <c r="H31" s="63">
        <v>1250</v>
      </c>
      <c r="I31" s="63">
        <f t="shared" si="66"/>
        <v>1250</v>
      </c>
      <c r="J31" s="63">
        <v>1000</v>
      </c>
      <c r="K31" s="63">
        <f t="shared" si="67"/>
        <v>1000</v>
      </c>
      <c r="L31" s="63">
        <f>(H31+J31)*$L$3</f>
        <v>225</v>
      </c>
      <c r="M31" s="63">
        <f>+L31*F31</f>
        <v>225</v>
      </c>
      <c r="N31" s="63">
        <f t="shared" si="68"/>
        <v>225</v>
      </c>
      <c r="O31" s="63">
        <f t="shared" ref="O31" si="71">+N31*F31</f>
        <v>225</v>
      </c>
      <c r="P31" s="64">
        <f t="shared" si="69"/>
        <v>2700</v>
      </c>
      <c r="Q31" s="65">
        <f t="shared" si="70"/>
        <v>2700</v>
      </c>
    </row>
    <row r="32" spans="3:19" s="30" customFormat="1" ht="16.5" thickBot="1" x14ac:dyDescent="0.3">
      <c r="C32" s="79"/>
      <c r="D32" s="42"/>
      <c r="E32" s="77"/>
      <c r="F32" s="77"/>
      <c r="G32" s="83"/>
      <c r="H32" s="43" t="s">
        <v>19</v>
      </c>
      <c r="I32" s="44">
        <f>SUM(I30:I31)</f>
        <v>11250</v>
      </c>
      <c r="J32" s="43" t="s">
        <v>19</v>
      </c>
      <c r="K32" s="45">
        <f>SUM(K30:K31)</f>
        <v>8500</v>
      </c>
      <c r="L32" s="43" t="s">
        <v>19</v>
      </c>
      <c r="M32" s="45">
        <f>SUM(M30:M31)</f>
        <v>1975</v>
      </c>
      <c r="N32" s="43" t="s">
        <v>19</v>
      </c>
      <c r="O32" s="45">
        <f>SUM(O30:O31)</f>
        <v>1975</v>
      </c>
      <c r="P32" s="46" t="s">
        <v>19</v>
      </c>
      <c r="Q32" s="47">
        <f>SUM(Q30:Q31)</f>
        <v>23700</v>
      </c>
    </row>
  </sheetData>
  <mergeCells count="7">
    <mergeCell ref="P5:Q5"/>
    <mergeCell ref="N5:O5"/>
    <mergeCell ref="C5:G5"/>
    <mergeCell ref="C6:G6"/>
    <mergeCell ref="H5:I5"/>
    <mergeCell ref="J5:K5"/>
    <mergeCell ref="L5:M5"/>
  </mergeCells>
  <phoneticPr fontId="41" type="noConversion"/>
  <pageMargins left="0.7" right="0.7" top="0.75" bottom="0.75" header="0.3" footer="0.3"/>
  <pageSetup paperSize="8" scale="61" fitToHeight="0" orientation="landscape" r:id="rId1"/>
  <ignoredErrors>
    <ignoredError sqref="M7:N7 M25:N25 M8 N28:N29 N24 N32 M18 M14:M15 M29:M31 M10 M23 M21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42A6-4306-4B19-9149-064304CC18D0}">
  <dimension ref="B1:R24"/>
  <sheetViews>
    <sheetView view="pageBreakPreview" zoomScale="85" zoomScaleNormal="100" zoomScaleSheetLayoutView="85" workbookViewId="0">
      <selection activeCell="E19" sqref="E19"/>
    </sheetView>
  </sheetViews>
  <sheetFormatPr defaultRowHeight="15" x14ac:dyDescent="0.25"/>
  <cols>
    <col min="1" max="1" width="3.5703125" customWidth="1"/>
    <col min="2" max="2" width="6.7109375" style="29" customWidth="1"/>
    <col min="3" max="3" width="70" customWidth="1"/>
    <col min="4" max="4" width="13.7109375" style="29" bestFit="1" customWidth="1"/>
    <col min="5" max="5" width="8.7109375" style="29" bestFit="1" customWidth="1"/>
    <col min="6" max="6" width="6.7109375" style="29" customWidth="1"/>
    <col min="7" max="9" width="16.7109375" customWidth="1"/>
    <col min="10" max="10" width="18.140625" customWidth="1"/>
    <col min="11" max="15" width="16.7109375" customWidth="1"/>
    <col min="16" max="16" width="21.42578125" bestFit="1" customWidth="1"/>
  </cols>
  <sheetData>
    <row r="1" spans="2:18" ht="47.25" customHeight="1" x14ac:dyDescent="0.25"/>
    <row r="2" spans="2:18" ht="73.5" customHeight="1" x14ac:dyDescent="0.25">
      <c r="K2" s="66" t="s">
        <v>26</v>
      </c>
      <c r="L2" s="67"/>
      <c r="M2" s="68" t="s">
        <v>34</v>
      </c>
    </row>
    <row r="3" spans="2:18" ht="31.5" customHeight="1" thickBot="1" x14ac:dyDescent="0.3">
      <c r="K3" s="61">
        <v>0.1</v>
      </c>
      <c r="M3" s="61">
        <v>0.1</v>
      </c>
    </row>
    <row r="4" spans="2:18" ht="33.75" customHeight="1" thickBot="1" x14ac:dyDescent="0.4">
      <c r="B4" s="78"/>
      <c r="C4" s="52"/>
      <c r="D4" s="76"/>
      <c r="E4" s="76"/>
      <c r="F4" s="76"/>
      <c r="G4" s="52"/>
      <c r="H4" s="52"/>
      <c r="I4" s="52"/>
      <c r="J4" s="59"/>
      <c r="K4" s="52"/>
      <c r="L4" s="52"/>
      <c r="M4" s="52"/>
      <c r="N4" s="52"/>
      <c r="O4" s="52"/>
      <c r="P4" s="58">
        <f>'İCMAL '!J3</f>
        <v>46279</v>
      </c>
    </row>
    <row r="5" spans="2:18" ht="21.75" thickBot="1" x14ac:dyDescent="0.3">
      <c r="B5" s="100"/>
      <c r="C5" s="101"/>
      <c r="D5" s="101"/>
      <c r="E5" s="101"/>
      <c r="F5" s="101"/>
      <c r="G5" s="99" t="s">
        <v>15</v>
      </c>
      <c r="H5" s="99"/>
      <c r="I5" s="99" t="s">
        <v>16</v>
      </c>
      <c r="J5" s="99"/>
      <c r="K5" s="97" t="s">
        <v>26</v>
      </c>
      <c r="L5" s="99" t="s">
        <v>25</v>
      </c>
      <c r="M5" s="97" t="s">
        <v>34</v>
      </c>
      <c r="N5" s="99" t="s">
        <v>25</v>
      </c>
      <c r="O5" s="97" t="s">
        <v>10</v>
      </c>
      <c r="P5" s="98"/>
    </row>
    <row r="6" spans="2:18" ht="21.75" thickBot="1" x14ac:dyDescent="0.3">
      <c r="B6" s="100" t="str">
        <f>'İCMAL '!C3</f>
        <v>İSLAMHANELERİ İÇ TESİSAT ELEKTRİK İŞLERİ</v>
      </c>
      <c r="C6" s="101"/>
      <c r="D6" s="101"/>
      <c r="E6" s="101"/>
      <c r="F6" s="101"/>
      <c r="G6" s="28" t="s">
        <v>10</v>
      </c>
      <c r="H6" s="28">
        <f>H19+H24</f>
        <v>0</v>
      </c>
      <c r="I6" s="28" t="s">
        <v>10</v>
      </c>
      <c r="J6" s="28">
        <f>J19+J24</f>
        <v>18360</v>
      </c>
      <c r="K6" s="28" t="s">
        <v>10</v>
      </c>
      <c r="L6" s="28">
        <f>L19+L24</f>
        <v>1836</v>
      </c>
      <c r="M6" s="28" t="s">
        <v>10</v>
      </c>
      <c r="N6" s="28">
        <f>N19+N24</f>
        <v>1836</v>
      </c>
      <c r="O6" s="28" t="s">
        <v>10</v>
      </c>
      <c r="P6" s="28">
        <f>P19+P24</f>
        <v>22032</v>
      </c>
    </row>
    <row r="7" spans="2:18" ht="15.75" thickBot="1" x14ac:dyDescent="0.3">
      <c r="B7" s="40" t="s">
        <v>20</v>
      </c>
      <c r="C7" s="86" t="s">
        <v>23</v>
      </c>
      <c r="D7" s="38" t="s">
        <v>0</v>
      </c>
      <c r="E7" s="38" t="s">
        <v>21</v>
      </c>
      <c r="F7" s="38" t="s">
        <v>1</v>
      </c>
      <c r="G7" s="38" t="s">
        <v>17</v>
      </c>
      <c r="H7" s="38" t="s">
        <v>18</v>
      </c>
      <c r="I7" s="38" t="s">
        <v>17</v>
      </c>
      <c r="J7" s="38" t="s">
        <v>18</v>
      </c>
      <c r="K7" s="38" t="s">
        <v>17</v>
      </c>
      <c r="L7" s="38" t="s">
        <v>18</v>
      </c>
      <c r="M7" s="38" t="s">
        <v>17</v>
      </c>
      <c r="N7" s="38" t="s">
        <v>18</v>
      </c>
      <c r="O7" s="38" t="s">
        <v>17</v>
      </c>
      <c r="P7" s="48" t="s">
        <v>19</v>
      </c>
      <c r="Q7" s="30"/>
      <c r="R7" s="30"/>
    </row>
    <row r="8" spans="2:18" x14ac:dyDescent="0.25">
      <c r="B8" s="71">
        <v>1</v>
      </c>
      <c r="C8" s="87" t="s">
        <v>49</v>
      </c>
      <c r="D8" s="88" t="s">
        <v>28</v>
      </c>
      <c r="E8" s="89">
        <v>6</v>
      </c>
      <c r="F8" s="90" t="s">
        <v>22</v>
      </c>
      <c r="G8" s="64"/>
      <c r="H8" s="64">
        <f t="shared" ref="H8:H18" si="0">E8*G8</f>
        <v>0</v>
      </c>
      <c r="I8" s="64">
        <v>100</v>
      </c>
      <c r="J8" s="64">
        <f t="shared" ref="J8:J18" si="1">E8*I8</f>
        <v>600</v>
      </c>
      <c r="K8" s="64">
        <f t="shared" ref="K8:K18" si="2">(G8+I8)*$K$3</f>
        <v>10</v>
      </c>
      <c r="L8" s="64">
        <f t="shared" ref="L8:L18" si="3">+K8*E8</f>
        <v>60</v>
      </c>
      <c r="M8" s="64">
        <f t="shared" ref="M8:M18" si="4">(I8+G8)*$M$3</f>
        <v>10</v>
      </c>
      <c r="N8" s="64">
        <f t="shared" ref="N8:N18" si="5">+M8*E8</f>
        <v>60</v>
      </c>
      <c r="O8" s="64">
        <f t="shared" ref="O8:O18" si="6">G8+I8+K8+M8</f>
        <v>120</v>
      </c>
      <c r="P8" s="72">
        <f t="shared" ref="P8:P18" si="7">E8*O8</f>
        <v>720</v>
      </c>
    </row>
    <row r="9" spans="2:18" x14ac:dyDescent="0.25">
      <c r="B9" s="39">
        <f>B8+1</f>
        <v>2</v>
      </c>
      <c r="C9" s="87" t="s">
        <v>67</v>
      </c>
      <c r="D9" s="88" t="s">
        <v>28</v>
      </c>
      <c r="E9" s="91">
        <v>12</v>
      </c>
      <c r="F9" s="92" t="s">
        <v>22</v>
      </c>
      <c r="G9" s="63"/>
      <c r="H9" s="63">
        <f t="shared" si="0"/>
        <v>0</v>
      </c>
      <c r="I9" s="64">
        <v>100</v>
      </c>
      <c r="J9" s="63">
        <f t="shared" si="1"/>
        <v>1200</v>
      </c>
      <c r="K9" s="63">
        <f>(G9+I9)*$K$3</f>
        <v>10</v>
      </c>
      <c r="L9" s="63">
        <f t="shared" si="3"/>
        <v>120</v>
      </c>
      <c r="M9" s="63">
        <f t="shared" si="4"/>
        <v>10</v>
      </c>
      <c r="N9" s="63">
        <f t="shared" si="5"/>
        <v>120</v>
      </c>
      <c r="O9" s="64">
        <f t="shared" si="6"/>
        <v>120</v>
      </c>
      <c r="P9" s="65">
        <f t="shared" si="7"/>
        <v>1440</v>
      </c>
    </row>
    <row r="10" spans="2:18" x14ac:dyDescent="0.25">
      <c r="B10" s="39">
        <f>B9+1</f>
        <v>3</v>
      </c>
      <c r="C10" s="87" t="s">
        <v>68</v>
      </c>
      <c r="D10" s="88" t="s">
        <v>28</v>
      </c>
      <c r="E10" s="91">
        <v>2</v>
      </c>
      <c r="F10" s="92" t="s">
        <v>22</v>
      </c>
      <c r="G10" s="63"/>
      <c r="H10" s="63">
        <f t="shared" ref="H10" si="8">E10*G10</f>
        <v>0</v>
      </c>
      <c r="I10" s="64">
        <v>100</v>
      </c>
      <c r="J10" s="63">
        <f t="shared" ref="J10" si="9">E10*I10</f>
        <v>200</v>
      </c>
      <c r="K10" s="63">
        <f>(G10+I10)*$K$3</f>
        <v>10</v>
      </c>
      <c r="L10" s="63">
        <f t="shared" ref="L10" si="10">+K10*E10</f>
        <v>20</v>
      </c>
      <c r="M10" s="63">
        <f t="shared" ref="M10" si="11">(I10+G10)*$M$3</f>
        <v>10</v>
      </c>
      <c r="N10" s="63">
        <f t="shared" ref="N10" si="12">+M10*E10</f>
        <v>20</v>
      </c>
      <c r="O10" s="64">
        <f t="shared" ref="O10" si="13">G10+I10+K10+M10</f>
        <v>120</v>
      </c>
      <c r="P10" s="65">
        <f t="shared" ref="P10" si="14">E10*O10</f>
        <v>240</v>
      </c>
    </row>
    <row r="11" spans="2:18" x14ac:dyDescent="0.25">
      <c r="B11" s="39">
        <f t="shared" ref="B11:B14" si="15">B10+1</f>
        <v>4</v>
      </c>
      <c r="C11" s="87" t="s">
        <v>50</v>
      </c>
      <c r="D11" s="88" t="s">
        <v>28</v>
      </c>
      <c r="E11" s="91">
        <v>33</v>
      </c>
      <c r="F11" s="92" t="s">
        <v>22</v>
      </c>
      <c r="G11" s="63"/>
      <c r="H11" s="63">
        <f t="shared" si="0"/>
        <v>0</v>
      </c>
      <c r="I11" s="64">
        <v>150</v>
      </c>
      <c r="J11" s="63">
        <f t="shared" si="1"/>
        <v>4950</v>
      </c>
      <c r="K11" s="63">
        <f t="shared" si="2"/>
        <v>15</v>
      </c>
      <c r="L11" s="63">
        <f t="shared" si="3"/>
        <v>495</v>
      </c>
      <c r="M11" s="63">
        <f t="shared" si="4"/>
        <v>15</v>
      </c>
      <c r="N11" s="63">
        <f t="shared" si="5"/>
        <v>495</v>
      </c>
      <c r="O11" s="64">
        <f t="shared" si="6"/>
        <v>180</v>
      </c>
      <c r="P11" s="65">
        <f t="shared" si="7"/>
        <v>5940</v>
      </c>
    </row>
    <row r="12" spans="2:18" x14ac:dyDescent="0.25">
      <c r="B12" s="39">
        <f t="shared" si="15"/>
        <v>5</v>
      </c>
      <c r="C12" s="87" t="s">
        <v>69</v>
      </c>
      <c r="D12" s="88" t="s">
        <v>28</v>
      </c>
      <c r="E12" s="91">
        <v>5</v>
      </c>
      <c r="F12" s="92" t="s">
        <v>22</v>
      </c>
      <c r="G12" s="63"/>
      <c r="H12" s="63">
        <f t="shared" ref="H12" si="16">E12*G12</f>
        <v>0</v>
      </c>
      <c r="I12" s="64">
        <v>150</v>
      </c>
      <c r="J12" s="63">
        <f t="shared" ref="J12" si="17">E12*I12</f>
        <v>750</v>
      </c>
      <c r="K12" s="63">
        <f t="shared" ref="K12" si="18">(G12+I12)*$K$3</f>
        <v>15</v>
      </c>
      <c r="L12" s="63">
        <f t="shared" ref="L12" si="19">+K12*E12</f>
        <v>75</v>
      </c>
      <c r="M12" s="63">
        <f t="shared" ref="M12" si="20">(I12+G12)*$M$3</f>
        <v>15</v>
      </c>
      <c r="N12" s="63">
        <f t="shared" ref="N12" si="21">+M12*E12</f>
        <v>75</v>
      </c>
      <c r="O12" s="64">
        <f t="shared" ref="O12" si="22">G12+I12+K12+M12</f>
        <v>180</v>
      </c>
      <c r="P12" s="65">
        <f t="shared" ref="P12" si="23">E12*O12</f>
        <v>900</v>
      </c>
    </row>
    <row r="13" spans="2:18" x14ac:dyDescent="0.25">
      <c r="B13" s="39">
        <f t="shared" si="15"/>
        <v>6</v>
      </c>
      <c r="C13" s="87" t="s">
        <v>51</v>
      </c>
      <c r="D13" s="88" t="s">
        <v>28</v>
      </c>
      <c r="E13" s="91">
        <v>3</v>
      </c>
      <c r="F13" s="92" t="s">
        <v>22</v>
      </c>
      <c r="G13" s="63"/>
      <c r="H13" s="63">
        <f t="shared" si="0"/>
        <v>0</v>
      </c>
      <c r="I13" s="64">
        <v>150</v>
      </c>
      <c r="J13" s="63">
        <f t="shared" si="1"/>
        <v>450</v>
      </c>
      <c r="K13" s="63">
        <f t="shared" si="2"/>
        <v>15</v>
      </c>
      <c r="L13" s="63">
        <f t="shared" si="3"/>
        <v>45</v>
      </c>
      <c r="M13" s="63">
        <f t="shared" si="4"/>
        <v>15</v>
      </c>
      <c r="N13" s="63">
        <f t="shared" si="5"/>
        <v>45</v>
      </c>
      <c r="O13" s="64">
        <f t="shared" si="6"/>
        <v>180</v>
      </c>
      <c r="P13" s="65">
        <f t="shared" si="7"/>
        <v>540</v>
      </c>
    </row>
    <row r="14" spans="2:18" x14ac:dyDescent="0.25">
      <c r="B14" s="39">
        <f t="shared" si="15"/>
        <v>7</v>
      </c>
      <c r="C14" s="87" t="s">
        <v>52</v>
      </c>
      <c r="D14" s="88" t="s">
        <v>28</v>
      </c>
      <c r="E14" s="89">
        <v>4</v>
      </c>
      <c r="F14" s="92" t="s">
        <v>22</v>
      </c>
      <c r="G14" s="63"/>
      <c r="H14" s="63">
        <f t="shared" si="0"/>
        <v>0</v>
      </c>
      <c r="I14" s="64">
        <v>150</v>
      </c>
      <c r="J14" s="63">
        <f t="shared" si="1"/>
        <v>600</v>
      </c>
      <c r="K14" s="63">
        <f t="shared" si="2"/>
        <v>15</v>
      </c>
      <c r="L14" s="63">
        <f t="shared" si="3"/>
        <v>60</v>
      </c>
      <c r="M14" s="63">
        <f t="shared" si="4"/>
        <v>15</v>
      </c>
      <c r="N14" s="63">
        <f t="shared" si="5"/>
        <v>60</v>
      </c>
      <c r="O14" s="64">
        <f t="shared" si="6"/>
        <v>180</v>
      </c>
      <c r="P14" s="65">
        <f t="shared" si="7"/>
        <v>720</v>
      </c>
    </row>
    <row r="15" spans="2:18" x14ac:dyDescent="0.25">
      <c r="B15" s="39">
        <f t="shared" ref="B15:B18" si="24">B14+1</f>
        <v>8</v>
      </c>
      <c r="C15" s="87" t="s">
        <v>53</v>
      </c>
      <c r="D15" s="88" t="s">
        <v>28</v>
      </c>
      <c r="E15" s="91">
        <v>19</v>
      </c>
      <c r="F15" s="92" t="s">
        <v>22</v>
      </c>
      <c r="G15" s="63"/>
      <c r="H15" s="63">
        <f t="shared" si="0"/>
        <v>0</v>
      </c>
      <c r="I15" s="64">
        <v>80</v>
      </c>
      <c r="J15" s="63">
        <f t="shared" si="1"/>
        <v>1520</v>
      </c>
      <c r="K15" s="63">
        <f t="shared" si="2"/>
        <v>8</v>
      </c>
      <c r="L15" s="63">
        <f t="shared" si="3"/>
        <v>152</v>
      </c>
      <c r="M15" s="63">
        <f t="shared" si="4"/>
        <v>8</v>
      </c>
      <c r="N15" s="63">
        <f t="shared" si="5"/>
        <v>152</v>
      </c>
      <c r="O15" s="64">
        <f t="shared" si="6"/>
        <v>96</v>
      </c>
      <c r="P15" s="65">
        <f t="shared" si="7"/>
        <v>1824</v>
      </c>
    </row>
    <row r="16" spans="2:18" x14ac:dyDescent="0.25">
      <c r="B16" s="39">
        <f t="shared" si="24"/>
        <v>9</v>
      </c>
      <c r="C16" s="87" t="s">
        <v>54</v>
      </c>
      <c r="D16" s="88" t="s">
        <v>28</v>
      </c>
      <c r="E16" s="91">
        <v>11</v>
      </c>
      <c r="F16" s="92" t="s">
        <v>22</v>
      </c>
      <c r="G16" s="63"/>
      <c r="H16" s="63">
        <f t="shared" si="0"/>
        <v>0</v>
      </c>
      <c r="I16" s="64">
        <v>80</v>
      </c>
      <c r="J16" s="63">
        <f t="shared" si="1"/>
        <v>880</v>
      </c>
      <c r="K16" s="63">
        <f t="shared" si="2"/>
        <v>8</v>
      </c>
      <c r="L16" s="63">
        <f t="shared" si="3"/>
        <v>88</v>
      </c>
      <c r="M16" s="63">
        <f t="shared" si="4"/>
        <v>8</v>
      </c>
      <c r="N16" s="63">
        <f t="shared" si="5"/>
        <v>88</v>
      </c>
      <c r="O16" s="64">
        <f t="shared" si="6"/>
        <v>96</v>
      </c>
      <c r="P16" s="65">
        <f t="shared" si="7"/>
        <v>1056</v>
      </c>
    </row>
    <row r="17" spans="2:18" x14ac:dyDescent="0.25">
      <c r="B17" s="39">
        <f t="shared" si="24"/>
        <v>10</v>
      </c>
      <c r="C17" s="87" t="s">
        <v>55</v>
      </c>
      <c r="D17" s="88" t="s">
        <v>28</v>
      </c>
      <c r="E17" s="91">
        <v>3</v>
      </c>
      <c r="F17" s="92" t="s">
        <v>22</v>
      </c>
      <c r="G17" s="63"/>
      <c r="H17" s="63">
        <f t="shared" ref="H17" si="25">E17*G17</f>
        <v>0</v>
      </c>
      <c r="I17" s="64">
        <v>80</v>
      </c>
      <c r="J17" s="63">
        <f t="shared" ref="J17" si="26">E17*I17</f>
        <v>240</v>
      </c>
      <c r="K17" s="63">
        <f t="shared" ref="K17" si="27">(G17+I17)*$K$3</f>
        <v>8</v>
      </c>
      <c r="L17" s="63">
        <f t="shared" ref="L17" si="28">+K17*E17</f>
        <v>24</v>
      </c>
      <c r="M17" s="63">
        <f t="shared" ref="M17" si="29">(I17+G17)*$M$3</f>
        <v>8</v>
      </c>
      <c r="N17" s="63">
        <f t="shared" ref="N17" si="30">+M17*E17</f>
        <v>24</v>
      </c>
      <c r="O17" s="64">
        <f t="shared" ref="O17" si="31">G17+I17+K17+M17</f>
        <v>96</v>
      </c>
      <c r="P17" s="65">
        <f t="shared" ref="P17" si="32">E17*O17</f>
        <v>288</v>
      </c>
    </row>
    <row r="18" spans="2:18" ht="15.75" thickBot="1" x14ac:dyDescent="0.3">
      <c r="B18" s="39">
        <f t="shared" si="24"/>
        <v>11</v>
      </c>
      <c r="C18" s="87" t="s">
        <v>73</v>
      </c>
      <c r="D18" s="88" t="s">
        <v>28</v>
      </c>
      <c r="E18" s="91">
        <v>4</v>
      </c>
      <c r="F18" s="92" t="s">
        <v>22</v>
      </c>
      <c r="G18" s="63"/>
      <c r="H18" s="63">
        <f t="shared" si="0"/>
        <v>0</v>
      </c>
      <c r="I18" s="64">
        <v>80</v>
      </c>
      <c r="J18" s="63">
        <f t="shared" si="1"/>
        <v>320</v>
      </c>
      <c r="K18" s="63">
        <f t="shared" si="2"/>
        <v>8</v>
      </c>
      <c r="L18" s="63">
        <f t="shared" si="3"/>
        <v>32</v>
      </c>
      <c r="M18" s="63">
        <f t="shared" si="4"/>
        <v>8</v>
      </c>
      <c r="N18" s="63">
        <f t="shared" si="5"/>
        <v>32</v>
      </c>
      <c r="O18" s="64">
        <f t="shared" si="6"/>
        <v>96</v>
      </c>
      <c r="P18" s="65">
        <f t="shared" si="7"/>
        <v>384</v>
      </c>
    </row>
    <row r="19" spans="2:18" ht="16.5" thickBot="1" x14ac:dyDescent="0.3">
      <c r="B19" s="79"/>
      <c r="C19" s="42"/>
      <c r="D19" s="77"/>
      <c r="E19" s="77"/>
      <c r="F19" s="83"/>
      <c r="G19" s="43" t="s">
        <v>19</v>
      </c>
      <c r="H19" s="44">
        <f>SUM(H8:H18)</f>
        <v>0</v>
      </c>
      <c r="I19" s="43" t="s">
        <v>19</v>
      </c>
      <c r="J19" s="45">
        <f>SUM(J8:J18)</f>
        <v>11710</v>
      </c>
      <c r="K19" s="43" t="s">
        <v>19</v>
      </c>
      <c r="L19" s="47">
        <f>SUM(L8:L18)</f>
        <v>1171</v>
      </c>
      <c r="M19" s="43" t="s">
        <v>19</v>
      </c>
      <c r="N19" s="47">
        <f>SUM(N8:N18)</f>
        <v>1171</v>
      </c>
      <c r="O19" s="46" t="s">
        <v>19</v>
      </c>
      <c r="P19" s="47">
        <f>SUM(P8:P18)</f>
        <v>14052</v>
      </c>
      <c r="Q19" s="30"/>
      <c r="R19" s="30"/>
    </row>
    <row r="20" spans="2:18" ht="15.75" thickBot="1" x14ac:dyDescent="0.3">
      <c r="B20" s="40" t="s">
        <v>20</v>
      </c>
      <c r="C20" s="86" t="s">
        <v>24</v>
      </c>
      <c r="D20" s="38" t="s">
        <v>0</v>
      </c>
      <c r="E20" s="38" t="s">
        <v>21</v>
      </c>
      <c r="F20" s="38" t="s">
        <v>1</v>
      </c>
      <c r="G20" s="38" t="s">
        <v>17</v>
      </c>
      <c r="H20" s="38" t="s">
        <v>18</v>
      </c>
      <c r="I20" s="38" t="s">
        <v>17</v>
      </c>
      <c r="J20" s="38" t="s">
        <v>18</v>
      </c>
      <c r="K20" s="38" t="s">
        <v>17</v>
      </c>
      <c r="L20" s="38" t="s">
        <v>18</v>
      </c>
      <c r="M20" s="38" t="s">
        <v>17</v>
      </c>
      <c r="N20" s="38" t="s">
        <v>18</v>
      </c>
      <c r="O20" s="38" t="s">
        <v>17</v>
      </c>
      <c r="P20" s="48" t="s">
        <v>19</v>
      </c>
      <c r="Q20" s="30"/>
      <c r="R20" s="30"/>
    </row>
    <row r="21" spans="2:18" x14ac:dyDescent="0.25">
      <c r="B21" s="71">
        <f>B18+1</f>
        <v>12</v>
      </c>
      <c r="C21" s="87" t="s">
        <v>70</v>
      </c>
      <c r="D21" s="73" t="s">
        <v>28</v>
      </c>
      <c r="E21" s="80">
        <v>9</v>
      </c>
      <c r="F21" s="74" t="s">
        <v>22</v>
      </c>
      <c r="G21" s="64"/>
      <c r="H21" s="64">
        <f t="shared" ref="H21:H23" si="33">E21*G21</f>
        <v>0</v>
      </c>
      <c r="I21" s="64">
        <v>350</v>
      </c>
      <c r="J21" s="64">
        <f t="shared" ref="J21:J23" si="34">E21*I21</f>
        <v>3150</v>
      </c>
      <c r="K21" s="64">
        <f t="shared" ref="K21:K23" si="35">(G21+I21)*$K$3</f>
        <v>35</v>
      </c>
      <c r="L21" s="64">
        <f t="shared" ref="L21:L23" si="36">+K21*E21</f>
        <v>315</v>
      </c>
      <c r="M21" s="64">
        <f t="shared" ref="M21:M23" si="37">(I21+G21)*$M$3</f>
        <v>35</v>
      </c>
      <c r="N21" s="64">
        <f t="shared" ref="N21:N23" si="38">+M21*E21</f>
        <v>315</v>
      </c>
      <c r="O21" s="64">
        <f t="shared" ref="O21:O23" si="39">G21+I21+K21+M21</f>
        <v>420</v>
      </c>
      <c r="P21" s="72">
        <f t="shared" ref="P21:P23" si="40">E21*O21</f>
        <v>3780</v>
      </c>
    </row>
    <row r="22" spans="2:18" x14ac:dyDescent="0.25">
      <c r="B22" s="71">
        <f>B21+1</f>
        <v>13</v>
      </c>
      <c r="C22" s="87" t="s">
        <v>71</v>
      </c>
      <c r="D22" s="73" t="s">
        <v>28</v>
      </c>
      <c r="E22" s="80">
        <v>7</v>
      </c>
      <c r="F22" s="74" t="s">
        <v>22</v>
      </c>
      <c r="G22" s="64"/>
      <c r="H22" s="64">
        <f t="shared" ref="H22" si="41">E22*G22</f>
        <v>0</v>
      </c>
      <c r="I22" s="64">
        <v>350</v>
      </c>
      <c r="J22" s="64">
        <f t="shared" ref="J22" si="42">E22*I22</f>
        <v>2450</v>
      </c>
      <c r="K22" s="64">
        <f t="shared" ref="K22" si="43">(G22+I22)*$K$3</f>
        <v>35</v>
      </c>
      <c r="L22" s="64">
        <f t="shared" ref="L22" si="44">+K22*E22</f>
        <v>245</v>
      </c>
      <c r="M22" s="64">
        <f t="shared" ref="M22" si="45">(I22+G22)*$M$3</f>
        <v>35</v>
      </c>
      <c r="N22" s="64">
        <f t="shared" ref="N22" si="46">+M22*E22</f>
        <v>245</v>
      </c>
      <c r="O22" s="64">
        <f t="shared" ref="O22" si="47">G22+I22+K22+M22</f>
        <v>420</v>
      </c>
      <c r="P22" s="72">
        <f t="shared" ref="P22" si="48">E22*O22</f>
        <v>2940</v>
      </c>
    </row>
    <row r="23" spans="2:18" ht="15.75" thickBot="1" x14ac:dyDescent="0.3">
      <c r="B23" s="71">
        <f>B22+1</f>
        <v>14</v>
      </c>
      <c r="C23" s="87" t="s">
        <v>72</v>
      </c>
      <c r="D23" s="73" t="s">
        <v>28</v>
      </c>
      <c r="E23" s="80">
        <v>3</v>
      </c>
      <c r="F23" s="74" t="s">
        <v>22</v>
      </c>
      <c r="G23" s="64"/>
      <c r="H23" s="64">
        <f t="shared" si="33"/>
        <v>0</v>
      </c>
      <c r="I23" s="64">
        <v>350</v>
      </c>
      <c r="J23" s="64">
        <f t="shared" si="34"/>
        <v>1050</v>
      </c>
      <c r="K23" s="64">
        <f t="shared" si="35"/>
        <v>35</v>
      </c>
      <c r="L23" s="64">
        <f t="shared" si="36"/>
        <v>105</v>
      </c>
      <c r="M23" s="64">
        <f t="shared" si="37"/>
        <v>35</v>
      </c>
      <c r="N23" s="64">
        <f t="shared" si="38"/>
        <v>105</v>
      </c>
      <c r="O23" s="64">
        <f t="shared" si="39"/>
        <v>420</v>
      </c>
      <c r="P23" s="72">
        <f t="shared" si="40"/>
        <v>1260</v>
      </c>
    </row>
    <row r="24" spans="2:18" ht="16.5" thickBot="1" x14ac:dyDescent="0.3">
      <c r="B24" s="79"/>
      <c r="C24" s="42"/>
      <c r="D24" s="77"/>
      <c r="E24" s="77"/>
      <c r="F24" s="83"/>
      <c r="G24" s="43" t="s">
        <v>19</v>
      </c>
      <c r="H24" s="44">
        <f>SUM(H21:H23)</f>
        <v>0</v>
      </c>
      <c r="I24" s="43" t="s">
        <v>19</v>
      </c>
      <c r="J24" s="45">
        <f>SUM(J21:J23)</f>
        <v>6650</v>
      </c>
      <c r="K24" s="43" t="s">
        <v>19</v>
      </c>
      <c r="L24" s="54">
        <f>SUM(L21:L23)</f>
        <v>665</v>
      </c>
      <c r="M24" s="43" t="s">
        <v>19</v>
      </c>
      <c r="N24" s="54">
        <f>SUM(N21:N23)</f>
        <v>665</v>
      </c>
      <c r="O24" s="46" t="s">
        <v>19</v>
      </c>
      <c r="P24" s="55">
        <f>SUM(P21:P23)</f>
        <v>7980</v>
      </c>
      <c r="Q24" s="30"/>
      <c r="R24" s="30"/>
    </row>
  </sheetData>
  <mergeCells count="7">
    <mergeCell ref="I5:J5"/>
    <mergeCell ref="K5:L5"/>
    <mergeCell ref="M5:N5"/>
    <mergeCell ref="O5:P5"/>
    <mergeCell ref="B6:F6"/>
    <mergeCell ref="B5:F5"/>
    <mergeCell ref="G5:H5"/>
  </mergeCells>
  <pageMargins left="0.7" right="0.7" top="0.75" bottom="0.75" header="0.3" footer="0.3"/>
  <pageSetup scale="29" orientation="portrait" r:id="rId1"/>
  <colBreaks count="1" manualBreakCount="1">
    <brk id="16" min="1" max="14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3</vt:i4>
      </vt:variant>
    </vt:vector>
  </HeadingPairs>
  <TitlesOfParts>
    <vt:vector size="6" baseType="lpstr">
      <vt:lpstr>İCMAL </vt:lpstr>
      <vt:lpstr>İÇ TESİSAT</vt:lpstr>
      <vt:lpstr>MONTAJ </vt:lpstr>
      <vt:lpstr>'İCMAL '!Yazdırma_Alanı</vt:lpstr>
      <vt:lpstr>'İÇ TESİSAT'!Yazdırma_Alanı</vt:lpstr>
      <vt:lpstr>'MONTAJ 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EMAK</dc:creator>
  <cp:lastModifiedBy>tansel kağnıcı</cp:lastModifiedBy>
  <cp:lastPrinted>2026-09-14T08:54:32Z</cp:lastPrinted>
  <dcterms:created xsi:type="dcterms:W3CDTF">2020-05-02T12:21:49Z</dcterms:created>
  <dcterms:modified xsi:type="dcterms:W3CDTF">2026-09-14T08:55:21Z</dcterms:modified>
</cp:coreProperties>
</file>